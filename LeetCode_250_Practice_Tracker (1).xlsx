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public\personal web\"/>
    </mc:Choice>
  </mc:AlternateContent>
  <xr:revisionPtr revIDLastSave="0" documentId="13_ncr:1_{20E79C05-5435-4743-8E8B-D5EB6253CAA8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Summary" sheetId="1" r:id="rId1"/>
    <sheet name="Practice 250" sheetId="2" r:id="rId2"/>
    <sheet name="Already Solved" sheetId="3" r:id="rId3"/>
  </sheets>
  <definedNames>
    <definedName name="_xlnm._FilterDatabase" localSheetId="1" hidden="1">'Practice 250'!$A$4:$L$276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71" i="3" l="1"/>
  <c r="F170" i="3"/>
  <c r="F169" i="3"/>
  <c r="F168" i="3"/>
  <c r="F165" i="3"/>
  <c r="F164" i="3"/>
  <c r="F163" i="3"/>
  <c r="F162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4" i="3"/>
  <c r="F113" i="3"/>
  <c r="F112" i="3"/>
  <c r="F111" i="3"/>
  <c r="F110" i="3"/>
  <c r="F108" i="3"/>
  <c r="F107" i="3"/>
  <c r="F106" i="3"/>
  <c r="F105" i="3"/>
  <c r="F104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3" i="3"/>
  <c r="F82" i="3"/>
  <c r="F81" i="3"/>
  <c r="F80" i="3"/>
  <c r="F79" i="3"/>
  <c r="F78" i="3"/>
  <c r="F77" i="3"/>
  <c r="F76" i="3"/>
  <c r="F75" i="3"/>
  <c r="F74" i="3"/>
  <c r="F73" i="3"/>
  <c r="F71" i="3"/>
  <c r="F70" i="3"/>
  <c r="F69" i="3"/>
  <c r="F68" i="3"/>
  <c r="F67" i="3"/>
  <c r="F66" i="3"/>
  <c r="F65" i="3"/>
  <c r="F64" i="3"/>
  <c r="F63" i="3"/>
  <c r="F62" i="3"/>
  <c r="F60" i="3"/>
  <c r="F59" i="3"/>
  <c r="F58" i="3"/>
  <c r="F57" i="3"/>
  <c r="F56" i="3"/>
  <c r="F55" i="3"/>
  <c r="F54" i="3"/>
  <c r="F53" i="3"/>
  <c r="F52" i="3"/>
  <c r="F51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4" i="3"/>
  <c r="F13" i="3"/>
  <c r="F12" i="3"/>
  <c r="F11" i="3"/>
  <c r="F10" i="3"/>
  <c r="F9" i="3"/>
  <c r="F8" i="3"/>
  <c r="F7" i="3"/>
  <c r="F6" i="3"/>
  <c r="H276" i="2"/>
  <c r="H275" i="2"/>
  <c r="H274" i="2"/>
  <c r="H273" i="2"/>
  <c r="H272" i="2"/>
  <c r="H271" i="2"/>
  <c r="H270" i="2"/>
  <c r="H269" i="2"/>
  <c r="H268" i="2"/>
  <c r="H267" i="2"/>
  <c r="H265" i="2"/>
  <c r="H264" i="2"/>
  <c r="H263" i="2"/>
  <c r="H262" i="2"/>
  <c r="H261" i="2"/>
  <c r="H260" i="2"/>
  <c r="H259" i="2"/>
  <c r="H258" i="2"/>
  <c r="H256" i="2"/>
  <c r="H255" i="2"/>
  <c r="H254" i="2"/>
  <c r="H253" i="2"/>
  <c r="H252" i="2"/>
  <c r="H251" i="2"/>
  <c r="H250" i="2"/>
  <c r="H249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4" i="2"/>
  <c r="H233" i="2"/>
  <c r="H232" i="2"/>
  <c r="H231" i="2"/>
  <c r="H230" i="2"/>
  <c r="H229" i="2"/>
  <c r="H228" i="2"/>
  <c r="H227" i="2"/>
  <c r="H226" i="2"/>
  <c r="H225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5" i="2"/>
  <c r="H164" i="2"/>
  <c r="H163" i="2"/>
  <c r="H162" i="2"/>
  <c r="H161" i="2"/>
  <c r="H160" i="2"/>
  <c r="H159" i="2"/>
  <c r="H158" i="2"/>
  <c r="H157" i="2"/>
  <c r="H156" i="2"/>
  <c r="H154" i="2"/>
  <c r="H153" i="2"/>
  <c r="H152" i="2"/>
  <c r="H151" i="2"/>
  <c r="H150" i="2"/>
  <c r="H149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4" i="2"/>
  <c r="H133" i="2"/>
  <c r="H132" i="2"/>
  <c r="H131" i="2"/>
  <c r="H130" i="2"/>
  <c r="H129" i="2"/>
  <c r="H128" i="2"/>
  <c r="H127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7" i="2"/>
  <c r="H96" i="2"/>
  <c r="H95" i="2"/>
  <c r="H94" i="2"/>
  <c r="H93" i="2"/>
  <c r="H92" i="2"/>
  <c r="H91" i="2"/>
  <c r="H90" i="2"/>
  <c r="H89" i="2"/>
  <c r="H88" i="2"/>
  <c r="H87" i="2"/>
  <c r="H86" i="2"/>
  <c r="H84" i="2"/>
  <c r="H83" i="2"/>
  <c r="H82" i="2"/>
  <c r="H81" i="2"/>
  <c r="H80" i="2"/>
  <c r="H79" i="2"/>
  <c r="H78" i="2"/>
  <c r="H77" i="2"/>
  <c r="H76" i="2"/>
  <c r="H75" i="2"/>
  <c r="H74" i="2"/>
  <c r="H73" i="2"/>
  <c r="H71" i="2"/>
  <c r="H70" i="2"/>
  <c r="H69" i="2"/>
  <c r="H68" i="2"/>
  <c r="H67" i="2"/>
  <c r="H66" i="2"/>
  <c r="H65" i="2"/>
  <c r="H64" i="2"/>
  <c r="H63" i="2"/>
  <c r="H62" i="2"/>
  <c r="H61" i="2"/>
  <c r="H60" i="2"/>
  <c r="H58" i="2"/>
  <c r="H57" i="2"/>
  <c r="H56" i="2"/>
  <c r="H55" i="2"/>
  <c r="H54" i="2"/>
  <c r="H53" i="2"/>
  <c r="H52" i="2"/>
  <c r="H51" i="2"/>
  <c r="H50" i="2"/>
  <c r="H49" i="2"/>
  <c r="H48" i="2"/>
  <c r="H47" i="2"/>
  <c r="H45" i="2"/>
  <c r="H44" i="2"/>
  <c r="H43" i="2"/>
  <c r="H42" i="2"/>
  <c r="H41" i="2"/>
  <c r="H40" i="2"/>
  <c r="H39" i="2"/>
  <c r="H38" i="2"/>
  <c r="H37" i="2"/>
  <c r="H36" i="2"/>
  <c r="H34" i="2"/>
  <c r="H33" i="2"/>
  <c r="H32" i="2"/>
  <c r="H31" i="2"/>
  <c r="H30" i="2"/>
  <c r="H29" i="2"/>
  <c r="H28" i="2"/>
  <c r="H27" i="2"/>
  <c r="H26" i="2"/>
  <c r="H25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B28" i="1"/>
  <c r="F25" i="1"/>
  <c r="E25" i="1"/>
  <c r="D25" i="1"/>
  <c r="C25" i="1"/>
  <c r="B25" i="1"/>
  <c r="G25" i="1" s="1"/>
  <c r="F24" i="1"/>
  <c r="E24" i="1"/>
  <c r="D24" i="1"/>
  <c r="C24" i="1"/>
  <c r="B24" i="1"/>
  <c r="G24" i="1" s="1"/>
  <c r="F23" i="1"/>
  <c r="E23" i="1"/>
  <c r="D23" i="1"/>
  <c r="C23" i="1"/>
  <c r="B23" i="1"/>
  <c r="G23" i="1" s="1"/>
  <c r="F22" i="1"/>
  <c r="E22" i="1"/>
  <c r="D22" i="1"/>
  <c r="C22" i="1"/>
  <c r="B22" i="1"/>
  <c r="G22" i="1" s="1"/>
  <c r="F21" i="1"/>
  <c r="E21" i="1"/>
  <c r="D21" i="1"/>
  <c r="C21" i="1"/>
  <c r="B21" i="1"/>
  <c r="G21" i="1" s="1"/>
  <c r="F20" i="1"/>
  <c r="E20" i="1"/>
  <c r="D20" i="1"/>
  <c r="C20" i="1"/>
  <c r="B20" i="1"/>
  <c r="G20" i="1" s="1"/>
  <c r="F19" i="1"/>
  <c r="E19" i="1"/>
  <c r="D19" i="1"/>
  <c r="C19" i="1"/>
  <c r="B19" i="1"/>
  <c r="G19" i="1" s="1"/>
  <c r="G18" i="1"/>
  <c r="F18" i="1"/>
  <c r="E18" i="1"/>
  <c r="D18" i="1"/>
  <c r="C18" i="1"/>
  <c r="B18" i="1"/>
  <c r="G17" i="1"/>
  <c r="F17" i="1"/>
  <c r="E17" i="1"/>
  <c r="D17" i="1"/>
  <c r="C17" i="1"/>
  <c r="B17" i="1"/>
  <c r="G16" i="1"/>
  <c r="F16" i="1"/>
  <c r="E16" i="1"/>
  <c r="D16" i="1"/>
  <c r="C16" i="1"/>
  <c r="B16" i="1"/>
  <c r="F15" i="1"/>
  <c r="E15" i="1"/>
  <c r="D15" i="1"/>
  <c r="C15" i="1"/>
  <c r="B15" i="1"/>
  <c r="G15" i="1" s="1"/>
  <c r="F14" i="1"/>
  <c r="E14" i="1"/>
  <c r="D14" i="1"/>
  <c r="C14" i="1"/>
  <c r="B14" i="1"/>
  <c r="G14" i="1" s="1"/>
  <c r="F13" i="1"/>
  <c r="E13" i="1"/>
  <c r="D13" i="1"/>
  <c r="C13" i="1"/>
  <c r="B13" i="1"/>
  <c r="G13" i="1" s="1"/>
  <c r="F12" i="1"/>
  <c r="E12" i="1"/>
  <c r="D12" i="1"/>
  <c r="C12" i="1"/>
  <c r="B12" i="1"/>
  <c r="G12" i="1" s="1"/>
  <c r="F11" i="1"/>
  <c r="E11" i="1"/>
  <c r="D11" i="1"/>
  <c r="C11" i="1"/>
  <c r="B11" i="1"/>
  <c r="G11" i="1" s="1"/>
  <c r="G10" i="1"/>
  <c r="F10" i="1"/>
  <c r="E10" i="1"/>
  <c r="D10" i="1"/>
  <c r="C10" i="1"/>
  <c r="B10" i="1"/>
  <c r="G9" i="1"/>
  <c r="F9" i="1"/>
  <c r="E9" i="1"/>
  <c r="D9" i="1"/>
  <c r="C9" i="1"/>
  <c r="B9" i="1"/>
  <c r="G8" i="1"/>
  <c r="F8" i="1"/>
  <c r="E8" i="1"/>
  <c r="D8" i="1"/>
  <c r="C8" i="1"/>
  <c r="B8" i="1"/>
  <c r="F7" i="1"/>
  <c r="E7" i="1"/>
  <c r="D7" i="1"/>
  <c r="C7" i="1"/>
  <c r="B7" i="1"/>
  <c r="G7" i="1" s="1"/>
  <c r="F6" i="1"/>
  <c r="E6" i="1"/>
  <c r="D6" i="1"/>
  <c r="C6" i="1"/>
  <c r="B6" i="1"/>
  <c r="G6" i="1" s="1"/>
  <c r="F5" i="1"/>
  <c r="E5" i="1"/>
  <c r="D5" i="1"/>
  <c r="C5" i="1"/>
  <c r="B5" i="1"/>
  <c r="F4" i="1"/>
  <c r="E4" i="1"/>
  <c r="E26" i="1" s="1"/>
  <c r="D4" i="1"/>
  <c r="D26" i="1" s="1"/>
  <c r="C4" i="1"/>
  <c r="C26" i="1" s="1"/>
  <c r="B4" i="1"/>
  <c r="G5" i="1" l="1"/>
  <c r="F26" i="1"/>
  <c r="G4" i="1"/>
  <c r="B26" i="1"/>
  <c r="B29" i="1" l="1"/>
  <c r="G26" i="1"/>
</calcChain>
</file>

<file path=xl/sharedStrings.xml><?xml version="1.0" encoding="utf-8"?>
<sst xmlns="http://schemas.openxmlformats.org/spreadsheetml/2006/main" count="1829" uniqueCount="820">
  <si>
    <t>Progress summary (auto-calculated from the 'Practice 250' sheet)</t>
  </si>
  <si>
    <t>Sub-topic</t>
  </si>
  <si>
    <t>Problems</t>
  </si>
  <si>
    <t>Easy</t>
  </si>
  <si>
    <t>Medium</t>
  </si>
  <si>
    <t>Hard</t>
  </si>
  <si>
    <t>Done</t>
  </si>
  <si>
    <t>% done</t>
  </si>
  <si>
    <t>1. Arrays &amp; Hashing</t>
  </si>
  <si>
    <t>2. Prefix Sum &amp; Matrix</t>
  </si>
  <si>
    <t>3. Two Pointers</t>
  </si>
  <si>
    <t>4. Sliding Window</t>
  </si>
  <si>
    <t>5. Stack &amp; Monotonic Stack</t>
  </si>
  <si>
    <t>6. Binary Search</t>
  </si>
  <si>
    <t>7. Linked List</t>
  </si>
  <si>
    <t>8. Strings &amp; Pattern Matching</t>
  </si>
  <si>
    <t>9. Binary Trees</t>
  </si>
  <si>
    <t>10. Binary Search Trees</t>
  </si>
  <si>
    <t>11. Heap / Priority Queue</t>
  </si>
  <si>
    <t>12. Trie</t>
  </si>
  <si>
    <t>13. Backtracking</t>
  </si>
  <si>
    <t>14. Graphs: BFS &amp; DFS</t>
  </si>
  <si>
    <t>15. Graphs: Topological Sort, Union-Find, Shortest Path</t>
  </si>
  <si>
    <t>16. 1D Dynamic Programming</t>
  </si>
  <si>
    <t>17. 2D / Grid &amp; String DP</t>
  </si>
  <si>
    <t>18. Knapsack, Subsequence &amp; Interval DP</t>
  </si>
  <si>
    <t>19. Greedy &amp; Intervals</t>
  </si>
  <si>
    <t>20. Bit Manipulation</t>
  </si>
  <si>
    <t>21. Math &amp; Number Theory</t>
  </si>
  <si>
    <t>22. Design (LLD-style)</t>
  </si>
  <si>
    <t>TOTAL</t>
  </si>
  <si>
    <t>Already solved (revision sheet)</t>
  </si>
  <si>
    <t>Grand total (solved + new)</t>
  </si>
  <si>
    <t>Legend: yellow cells on the other sheets are yours to fill; everything else is pre-filled.</t>
  </si>
  <si>
    <t>Suggested pace: 3 problems/day = 250 in ~12 weeks; 5/day = ~7 weeks. Do Easy first inside each topic, then Medium, then Hard.</t>
  </si>
  <si>
    <t>Revision rule: any problem marked 'Revise' should be re-attempted after 3 days and again after 2 weeks.</t>
  </si>
  <si>
    <t>Interview-critical sub-topics for product MNCs: Arrays/Hashing, Sliding Window, Stack, Binary Search, Trees, Graphs, 1D+2D DP, Design.</t>
  </si>
  <si>
    <t>Companies column is indicative (based on public LeetCode company tags and interview reports), not a guarantee for any specific drive.</t>
  </si>
  <si>
    <t>LeetCode Practice Set - 250 new problems grouped by sub-topic (MNC interview focus)</t>
  </si>
  <si>
    <t>How to use: work top-to-bottom inside each sub-topic (ordered easy -&gt; hard). Fill only the yellow cells: Status (Done / Revise / Skipped), Date, Attempts, Notes. Companies are indicative tags from LeetCode/interview reports, not guarantees. This list excludes every problem on the 'Already Solved' sheet.</t>
  </si>
  <si>
    <t>#</t>
  </si>
  <si>
    <t>LC #</t>
  </si>
  <si>
    <t>Problem</t>
  </si>
  <si>
    <t>Difficulty</t>
  </si>
  <si>
    <t>Pattern / Key idea</t>
  </si>
  <si>
    <t>Companies (indicative)</t>
  </si>
  <si>
    <t>Link</t>
  </si>
  <si>
    <t>Status</t>
  </si>
  <si>
    <t>Date solved</t>
  </si>
  <si>
    <t>Attempts</t>
  </si>
  <si>
    <t>Notes</t>
  </si>
  <si>
    <t>1. Arrays &amp; Hashing  (18 problems)</t>
  </si>
  <si>
    <t>Arrays &amp; Hashing</t>
  </si>
  <si>
    <t>Contains Duplicate</t>
  </si>
  <si>
    <t>Hash set</t>
  </si>
  <si>
    <t>Amazon, Microsoft, Adobe</t>
  </si>
  <si>
    <t>2026-09-05</t>
  </si>
  <si>
    <t>Example row - overwrite with your own entry</t>
  </si>
  <si>
    <t>Contains Duplicate II</t>
  </si>
  <si>
    <t>Hash map + window of k</t>
  </si>
  <si>
    <t>Amazon, Google</t>
  </si>
  <si>
    <t>Majority Element</t>
  </si>
  <si>
    <t>Boyer-Moore voting</t>
  </si>
  <si>
    <t>Amazon, Microsoft, Zoho</t>
  </si>
  <si>
    <t>Majority Element II</t>
  </si>
  <si>
    <t>Boyer-Moore (2 candidates)</t>
  </si>
  <si>
    <t>Google, Amazon</t>
  </si>
  <si>
    <t>Find All Numbers Disappeared in an Array</t>
  </si>
  <si>
    <t>Index-as-hash (mark negatives)</t>
  </si>
  <si>
    <t>Amazon, Microsoft</t>
  </si>
  <si>
    <t>Find All Duplicates in an Array</t>
  </si>
  <si>
    <t>Index-as-hash</t>
  </si>
  <si>
    <t>Amazon, Goldman Sachs</t>
  </si>
  <si>
    <t>Find the Duplicate Number</t>
  </si>
  <si>
    <t>Floyd cycle detection on array</t>
  </si>
  <si>
    <t>Amazon, Microsoft, Google</t>
  </si>
  <si>
    <t>First Missing Positive</t>
  </si>
  <si>
    <t>Cyclic sort / index marking</t>
  </si>
  <si>
    <t>Amazon, Microsoft, Uber</t>
  </si>
  <si>
    <t>Product of Array Except Self</t>
  </si>
  <si>
    <t>Prefix &amp; suffix products</t>
  </si>
  <si>
    <t>Amazon, Microsoft, Meta, Visa</t>
  </si>
  <si>
    <t>Longest Consecutive Sequence</t>
  </si>
  <si>
    <t>Hash set, start-of-run check</t>
  </si>
  <si>
    <t>Amazon, Google, Goldman Sachs</t>
  </si>
  <si>
    <t>Subarray Sum Equals K</t>
  </si>
  <si>
    <t>Prefix sum + hash map</t>
  </si>
  <si>
    <t>Meta, Amazon, Google, Visa</t>
  </si>
  <si>
    <t>Rotate Array</t>
  </si>
  <si>
    <t>Three reversals</t>
  </si>
  <si>
    <t>Microsoft, Amazon, Zoho</t>
  </si>
  <si>
    <t>Sort Colors</t>
  </si>
  <si>
    <t>Dutch national flag</t>
  </si>
  <si>
    <t>Microsoft, Amazon, Adobe</t>
  </si>
  <si>
    <t>Next Permutation</t>
  </si>
  <si>
    <t>Pivot + swap + reverse</t>
  </si>
  <si>
    <t>Google, Microsoft, Amazon</t>
  </si>
  <si>
    <t>Set Matrix Zeroes</t>
  </si>
  <si>
    <t>First row/col as markers</t>
  </si>
  <si>
    <t>Amazon, Microsoft, Oracle</t>
  </si>
  <si>
    <t>Rotate Image</t>
  </si>
  <si>
    <t>Transpose + reverse rows</t>
  </si>
  <si>
    <t>Microsoft, Amazon, Apple</t>
  </si>
  <si>
    <t>Spiral Matrix</t>
  </si>
  <si>
    <t>Boundary shrinking</t>
  </si>
  <si>
    <t>Valid Sudoku</t>
  </si>
  <si>
    <t>Hash sets per row/col/box</t>
  </si>
  <si>
    <t>Amazon, Apple, Uber</t>
  </si>
  <si>
    <t>2. Prefix Sum &amp; Matrix  (10 problems)</t>
  </si>
  <si>
    <t>Prefix Sum &amp; Matrix</t>
  </si>
  <si>
    <t>Running Sum of 1d Array</t>
  </si>
  <si>
    <t>Prefix sum</t>
  </si>
  <si>
    <t>Amazon, Adobe</t>
  </si>
  <si>
    <t>Find Pivot Index</t>
  </si>
  <si>
    <t>Range Sum Query - Immutable</t>
  </si>
  <si>
    <t>Prefix sum array</t>
  </si>
  <si>
    <t>Range Sum Query 2D - Immutable</t>
  </si>
  <si>
    <t>2D prefix sum</t>
  </si>
  <si>
    <t>Google, Amazon, Meta</t>
  </si>
  <si>
    <t>Continuous Subarray Sum</t>
  </si>
  <si>
    <t>Prefix sum mod k + hash map</t>
  </si>
  <si>
    <t>Meta, Amazon</t>
  </si>
  <si>
    <t>Subarray Sums Divisible by K</t>
  </si>
  <si>
    <t>Prefix mod counting</t>
  </si>
  <si>
    <t>Contiguous Array</t>
  </si>
  <si>
    <t>Prefix sum with +1/-1</t>
  </si>
  <si>
    <t>Corporate Flight Bookings</t>
  </si>
  <si>
    <t>Difference array</t>
  </si>
  <si>
    <t>Amazon, Uber</t>
  </si>
  <si>
    <t>Spiral Matrix II</t>
  </si>
  <si>
    <t>Boundary fill</t>
  </si>
  <si>
    <t>Microsoft, Amazon</t>
  </si>
  <si>
    <t>Search a 2D Matrix II</t>
  </si>
  <si>
    <t>Staircase search from top-right</t>
  </si>
  <si>
    <t>3. Two Pointers  (10 problems)</t>
  </si>
  <si>
    <t>Two Pointers</t>
  </si>
  <si>
    <t>Squares of a Sorted Array</t>
  </si>
  <si>
    <t>Two pointers from ends</t>
  </si>
  <si>
    <t>Amazon, Meta</t>
  </si>
  <si>
    <t>Valid Palindrome II</t>
  </si>
  <si>
    <t>Skip one char, two pointers</t>
  </si>
  <si>
    <t>Meta, Amazon, Microsoft</t>
  </si>
  <si>
    <t>Remove Duplicates from Sorted Array II</t>
  </si>
  <si>
    <t>Slow/fast pointers</t>
  </si>
  <si>
    <t>4Sum</t>
  </si>
  <si>
    <t>Sort + nested two pointers</t>
  </si>
  <si>
    <t>Amazon, Adobe, Goldman Sachs</t>
  </si>
  <si>
    <t>3Sum Closest</t>
  </si>
  <si>
    <t>Sort + two pointers</t>
  </si>
  <si>
    <t>Max Number of K-Sum Pairs</t>
  </si>
  <si>
    <t>Sort + two pointers / hash map</t>
  </si>
  <si>
    <t>Amazon</t>
  </si>
  <si>
    <t>Backspace String Compare</t>
  </si>
  <si>
    <t>Reverse scan two pointers</t>
  </si>
  <si>
    <t>Boats to Save People</t>
  </si>
  <si>
    <t>Sort + greedy two pointers</t>
  </si>
  <si>
    <t>Interval List Intersections</t>
  </si>
  <si>
    <t>Merge-style two pointers</t>
  </si>
  <si>
    <t>Meta, Amazon, Uber</t>
  </si>
  <si>
    <t>Bag of Tokens</t>
  </si>
  <si>
    <t>4. Sliding Window  (12 problems)</t>
  </si>
  <si>
    <t>Sliding Window</t>
  </si>
  <si>
    <t>Maximum Average Subarray I</t>
  </si>
  <si>
    <t>Fixed window</t>
  </si>
  <si>
    <t>Minimum Size Subarray Sum</t>
  </si>
  <si>
    <t>Variable window (shrink)</t>
  </si>
  <si>
    <t>Max Consecutive Ones III</t>
  </si>
  <si>
    <t>Window with k flips</t>
  </si>
  <si>
    <t>Maximum Number of Vowels in a Substring of Given Length</t>
  </si>
  <si>
    <t>Fixed window count</t>
  </si>
  <si>
    <t>Find All Anagrams in a String</t>
  </si>
  <si>
    <t>Fixed window + frequency array</t>
  </si>
  <si>
    <t>Amazon, Microsoft, Meta</t>
  </si>
  <si>
    <t>Fruit Into Baskets</t>
  </si>
  <si>
    <t>Longest window with 2 distinct</t>
  </si>
  <si>
    <t>Longest Subarray of 1's After Deleting One Element</t>
  </si>
  <si>
    <t>Window with at most one 0</t>
  </si>
  <si>
    <t>Binary Subarrays With Sum</t>
  </si>
  <si>
    <t>atMost(k) - atMost(k-1)</t>
  </si>
  <si>
    <t>Count Number of Nice Subarrays</t>
  </si>
  <si>
    <t>atMost trick</t>
  </si>
  <si>
    <t>Minimum Operations to Reduce X to Zero</t>
  </si>
  <si>
    <t>Longest subarray = total - x</t>
  </si>
  <si>
    <t>Minimum Window Substring</t>
  </si>
  <si>
    <t>Variable window + need/have counts</t>
  </si>
  <si>
    <t>Meta, Amazon, Microsoft, Adobe</t>
  </si>
  <si>
    <t>Subarrays with K Different Integers</t>
  </si>
  <si>
    <t>5. Stack &amp; Monotonic Stack  (12 problems)</t>
  </si>
  <si>
    <t>Stack &amp; Monotonic Stack</t>
  </si>
  <si>
    <t>Simplify Path</t>
  </si>
  <si>
    <t>Stack of path components</t>
  </si>
  <si>
    <t>Meta, Microsoft, Amazon</t>
  </si>
  <si>
    <t>Asteroid Collision</t>
  </si>
  <si>
    <t>Stack simulation</t>
  </si>
  <si>
    <t>Amazon, Uber, Adobe</t>
  </si>
  <si>
    <t>Minimum Remove to Make Valid Parentheses</t>
  </si>
  <si>
    <t>Stack of indices</t>
  </si>
  <si>
    <t>Remove K Digits</t>
  </si>
  <si>
    <t>Monotonic increasing stack</t>
  </si>
  <si>
    <t>Car Fleet</t>
  </si>
  <si>
    <t>Sort + monotonic stack of times</t>
  </si>
  <si>
    <t>Online Stock Span</t>
  </si>
  <si>
    <t>Monotonic stack (value, count)</t>
  </si>
  <si>
    <t>Sum of Subarray Minimums</t>
  </si>
  <si>
    <t>Prev/next smaller contribution</t>
  </si>
  <si>
    <t>Basic Calculator II</t>
  </si>
  <si>
    <t>Stack with operator precedence</t>
  </si>
  <si>
    <t>Basic Calculator</t>
  </si>
  <si>
    <t>Stack for parentheses &amp; sign</t>
  </si>
  <si>
    <t>Meta, Google, Amazon</t>
  </si>
  <si>
    <t>Largest Rectangle in Histogram</t>
  </si>
  <si>
    <t>Monotonic stack</t>
  </si>
  <si>
    <t>Maximal Rectangle</t>
  </si>
  <si>
    <t>Histogram per row + LC 84</t>
  </si>
  <si>
    <t>Longest Valid Parentheses</t>
  </si>
  <si>
    <t>Stack of indices / DP</t>
  </si>
  <si>
    <t>6. Binary Search  (12 problems)</t>
  </si>
  <si>
    <t>Binary Search</t>
  </si>
  <si>
    <t>Classic template</t>
  </si>
  <si>
    <t>Search Insert Position</t>
  </si>
  <si>
    <t>Lower bound</t>
  </si>
  <si>
    <t>Kth Missing Positive Number</t>
  </si>
  <si>
    <t>Binary search on missing count</t>
  </si>
  <si>
    <t>Search a 2D Matrix</t>
  </si>
  <si>
    <t>Treat matrix as 1D array</t>
  </si>
  <si>
    <t>Search in Rotated Sorted Array II</t>
  </si>
  <si>
    <t>Rotated BS with duplicates</t>
  </si>
  <si>
    <t>Find Minimum in Rotated Sorted Array II</t>
  </si>
  <si>
    <t>Koko Eating Bananas</t>
  </si>
  <si>
    <t>Binary search on answer</t>
  </si>
  <si>
    <t>Capacity To Ship Packages Within D Days</t>
  </si>
  <si>
    <t>Find the Smallest Divisor Given a Threshold</t>
  </si>
  <si>
    <t>Amazon, Walmart</t>
  </si>
  <si>
    <t>Minimum Number of Days to Make m Bouquets</t>
  </si>
  <si>
    <t>Split Array Largest Sum</t>
  </si>
  <si>
    <t>Binary search on answer + greedy</t>
  </si>
  <si>
    <t>Median of Two Sorted Arrays</t>
  </si>
  <si>
    <t>Partition binary search</t>
  </si>
  <si>
    <t>Amazon, Microsoft, Google, Goldman Sachs</t>
  </si>
  <si>
    <t>7. Linked List  (12 problems)</t>
  </si>
  <si>
    <t>Linked List</t>
  </si>
  <si>
    <t>Linked List Cycle II</t>
  </si>
  <si>
    <t>Floyd, find cycle start</t>
  </si>
  <si>
    <t>Remove Duplicates from Sorted List II</t>
  </si>
  <si>
    <t>Dummy head + skip runs</t>
  </si>
  <si>
    <t>Partition List</t>
  </si>
  <si>
    <t>Two dummy lists</t>
  </si>
  <si>
    <t>Reverse Linked List II</t>
  </si>
  <si>
    <t>Reverse sublist in place</t>
  </si>
  <si>
    <t>Reorder List</t>
  </si>
  <si>
    <t>Middle + reverse + merge</t>
  </si>
  <si>
    <t>Amazon, Meta, Microsoft</t>
  </si>
  <si>
    <t>Delete the Middle Node of a Linked List</t>
  </si>
  <si>
    <t>Add Two Numbers II</t>
  </si>
  <si>
    <t>Stacks / reverse</t>
  </si>
  <si>
    <t>Amazon, Microsoft, Bloomberg</t>
  </si>
  <si>
    <t>Copy List with Random Pointer</t>
  </si>
  <si>
    <t>Interleave nodes / hash map</t>
  </si>
  <si>
    <t>Sort List</t>
  </si>
  <si>
    <t>Merge sort on linked list</t>
  </si>
  <si>
    <t>Flatten a Multilevel Doubly Linked List</t>
  </si>
  <si>
    <t>DFS with stack</t>
  </si>
  <si>
    <t>Reverse Nodes in k-Group</t>
  </si>
  <si>
    <t>Group-wise reversal</t>
  </si>
  <si>
    <t>Merge k Sorted Lists</t>
  </si>
  <si>
    <t>Min-heap / divide &amp; conquer</t>
  </si>
  <si>
    <t>Amazon, Microsoft, Meta, Google</t>
  </si>
  <si>
    <t>8. Strings &amp; Pattern Matching  (12 problems)</t>
  </si>
  <si>
    <t>Strings &amp; Pattern Matching</t>
  </si>
  <si>
    <t>Roman to Integer</t>
  </si>
  <si>
    <t>Map + lookahead</t>
  </si>
  <si>
    <t>Integer to Roman</t>
  </si>
  <si>
    <t>Greedy value table</t>
  </si>
  <si>
    <t>Add Binary</t>
  </si>
  <si>
    <t>Carry simulation</t>
  </si>
  <si>
    <t>Word Pattern</t>
  </si>
  <si>
    <t>Bijective hash maps</t>
  </si>
  <si>
    <t>First Unique Character in a String</t>
  </si>
  <si>
    <t>Frequency array</t>
  </si>
  <si>
    <t>Repeated Substring Pattern</t>
  </si>
  <si>
    <t>(s+s).find(s) / KMP</t>
  </si>
  <si>
    <t>String to Integer (atoi)</t>
  </si>
  <si>
    <t>Parsing with overflow guard</t>
  </si>
  <si>
    <t>Compare Version Numbers</t>
  </si>
  <si>
    <t>Split &amp; compare chunks</t>
  </si>
  <si>
    <t>Multiply Strings</t>
  </si>
  <si>
    <t>Digit-by-digit multiplication</t>
  </si>
  <si>
    <t>Largest Number</t>
  </si>
  <si>
    <t>Custom comparator sort</t>
  </si>
  <si>
    <t>Repeated DNA Sequences</t>
  </si>
  <si>
    <t>Rolling hash / set</t>
  </si>
  <si>
    <t>Shortest Palindrome</t>
  </si>
  <si>
    <t>KMP failure function</t>
  </si>
  <si>
    <t>Amazon, Google, Microsoft</t>
  </si>
  <si>
    <t>9. Binary Trees  (14 problems)</t>
  </si>
  <si>
    <t>Binary Trees</t>
  </si>
  <si>
    <t>Minimum Depth of Binary Tree</t>
  </si>
  <si>
    <t>BFS early exit</t>
  </si>
  <si>
    <t>Construct Binary Tree from Preorder and Inorder Traversal</t>
  </si>
  <si>
    <t>Recursion + inorder index map</t>
  </si>
  <si>
    <t>Construct Binary Tree from Inorder and Postorder Traversal</t>
  </si>
  <si>
    <t>Recursion + index map</t>
  </si>
  <si>
    <t>Path Sum II</t>
  </si>
  <si>
    <t>DFS with path backtracking</t>
  </si>
  <si>
    <t>Path Sum III</t>
  </si>
  <si>
    <t>Prefix sum on tree</t>
  </si>
  <si>
    <t>Sum Root to Leaf Numbers</t>
  </si>
  <si>
    <t>DFS carrying value</t>
  </si>
  <si>
    <t>Flatten Binary Tree to Linked List</t>
  </si>
  <si>
    <t>Reverse postorder / Morris</t>
  </si>
  <si>
    <t>Maximum Width of Binary Tree</t>
  </si>
  <si>
    <t>BFS with position indices</t>
  </si>
  <si>
    <t>All Nodes Distance K in Binary Tree</t>
  </si>
  <si>
    <t>Parent map + BFS</t>
  </si>
  <si>
    <t>House Robber III</t>
  </si>
  <si>
    <t>Tree DP (rob / not rob)</t>
  </si>
  <si>
    <t>Maximum Difference Between Node and Ancestor</t>
  </si>
  <si>
    <t>DFS with min/max so far</t>
  </si>
  <si>
    <t>Vertical Order Traversal of a Binary Tree</t>
  </si>
  <si>
    <t>DFS + sort by (col,row,val)</t>
  </si>
  <si>
    <t>Serialize and Deserialize Binary Tree</t>
  </si>
  <si>
    <t>Preorder with null markers</t>
  </si>
  <si>
    <t>Binary Tree Cameras</t>
  </si>
  <si>
    <t>Greedy tree DP (3 states)</t>
  </si>
  <si>
    <t>10. Binary Search Trees  (8 problems)</t>
  </si>
  <si>
    <t>Binary Search Trees</t>
  </si>
  <si>
    <t>Convert Sorted Array to Binary Search Tree</t>
  </si>
  <si>
    <t>Middle element recursion</t>
  </si>
  <si>
    <t>Convert BST to Greater Tree</t>
  </si>
  <si>
    <t>Reverse inorder</t>
  </si>
  <si>
    <t>Trim a Binary Search Tree</t>
  </si>
  <si>
    <t>Recursive pruning</t>
  </si>
  <si>
    <t>Construct Binary Search Tree from Preorder Traversal</t>
  </si>
  <si>
    <t>Bounds recursion</t>
  </si>
  <si>
    <t>Delete Node in a BST</t>
  </si>
  <si>
    <t>Inorder successor replacement</t>
  </si>
  <si>
    <t>Binary Search Tree Iterator</t>
  </si>
  <si>
    <t>Controlled inorder with stack</t>
  </si>
  <si>
    <t>Unique Binary Search Trees</t>
  </si>
  <si>
    <t>Catalan DP</t>
  </si>
  <si>
    <t>Recover Binary Search Tree</t>
  </si>
  <si>
    <t>Inorder, find two swapped nodes</t>
  </si>
  <si>
    <t>11. Heap / Priority Queue  (12 problems)</t>
  </si>
  <si>
    <t>Heap / Priority Queue</t>
  </si>
  <si>
    <t>K Closest Points to Origin</t>
  </si>
  <si>
    <t>Max-heap of size k</t>
  </si>
  <si>
    <t>Top K Frequent Words</t>
  </si>
  <si>
    <t>Heap with custom order</t>
  </si>
  <si>
    <t>Find K Pairs with Smallest Sums</t>
  </si>
  <si>
    <t>Min-heap of frontier</t>
  </si>
  <si>
    <t>Ugly Number II</t>
  </si>
  <si>
    <t>Heap / 3 pointers</t>
  </si>
  <si>
    <t>Furthest Building You Can Reach</t>
  </si>
  <si>
    <t>Greedy with min-heap of ladders</t>
  </si>
  <si>
    <t>Single-Threaded CPU</t>
  </si>
  <si>
    <t>Sort + min-heap simulation</t>
  </si>
  <si>
    <t>Longest Happy String</t>
  </si>
  <si>
    <t>Greedy max-heap</t>
  </si>
  <si>
    <t>Maximum Subsequence Score</t>
  </si>
  <si>
    <t>Sort by second + heap of k</t>
  </si>
  <si>
    <t>Meeting Rooms III</t>
  </si>
  <si>
    <t>Two heaps (free rooms, busy rooms)</t>
  </si>
  <si>
    <t>IPO</t>
  </si>
  <si>
    <t>Two heaps greedy</t>
  </si>
  <si>
    <t>Course Schedule III</t>
  </si>
  <si>
    <t>Sort + max-heap swap</t>
  </si>
  <si>
    <t>Find Median from Data Stream</t>
  </si>
  <si>
    <t>Two heaps</t>
  </si>
  <si>
    <t>12. Trie  (6 problems)</t>
  </si>
  <si>
    <t>Trie</t>
  </si>
  <si>
    <t>Implement Trie (Prefix Tree)</t>
  </si>
  <si>
    <t>Trie basics</t>
  </si>
  <si>
    <t>Design Add and Search Words Data Structure</t>
  </si>
  <si>
    <t>Trie + wildcard DFS</t>
  </si>
  <si>
    <t>Replace Words</t>
  </si>
  <si>
    <t>Trie shortest-prefix lookup</t>
  </si>
  <si>
    <t>Search Suggestions System</t>
  </si>
  <si>
    <t>Trie + DFS / sort + BS</t>
  </si>
  <si>
    <t>Maximum XOR of Two Numbers in an Array</t>
  </si>
  <si>
    <t>Bitwise trie</t>
  </si>
  <si>
    <t>Word Search II</t>
  </si>
  <si>
    <t>Trie + grid DFS with pruning</t>
  </si>
  <si>
    <t>13. Backtracking  (10 problems)</t>
  </si>
  <si>
    <t>Backtracking</t>
  </si>
  <si>
    <t>Generate Parentheses</t>
  </si>
  <si>
    <t>Open/close counts</t>
  </si>
  <si>
    <t>Amazon, Microsoft, Meta, Adobe</t>
  </si>
  <si>
    <t>Letter Case Permutation</t>
  </si>
  <si>
    <t>Branch per letter</t>
  </si>
  <si>
    <t>Restore IP Addresses</t>
  </si>
  <si>
    <t>Segment-wise backtracking</t>
  </si>
  <si>
    <t>Non-decreasing Subsequences</t>
  </si>
  <si>
    <t>Backtrack with per-level set</t>
  </si>
  <si>
    <t>Path with Maximum Gold</t>
  </si>
  <si>
    <t>Grid DFS backtracking</t>
  </si>
  <si>
    <t>Matchsticks to Square</t>
  </si>
  <si>
    <t>Bucket backtracking + pruning</t>
  </si>
  <si>
    <t>Partition to K Equal Sum Subsets</t>
  </si>
  <si>
    <t>Bucket backtracking / bitmask DP</t>
  </si>
  <si>
    <t>N-Queens II</t>
  </si>
  <si>
    <t>Column/diagonal sets</t>
  </si>
  <si>
    <t>Sudoku Solver</t>
  </si>
  <si>
    <t>Constraint backtracking</t>
  </si>
  <si>
    <t>Remove Invalid Parentheses</t>
  </si>
  <si>
    <t>BFS / DFS with pruning</t>
  </si>
  <si>
    <t>Meta, Amazon, Google</t>
  </si>
  <si>
    <t>14. Graphs: BFS &amp; DFS  (14 problems)</t>
  </si>
  <si>
    <t>Graphs: BFS &amp; DFS</t>
  </si>
  <si>
    <t>Flood Fill</t>
  </si>
  <si>
    <t>Grid DFS</t>
  </si>
  <si>
    <t>Number of Islands</t>
  </si>
  <si>
    <t>Grid DFS/BFS</t>
  </si>
  <si>
    <t>Max Area of Island</t>
  </si>
  <si>
    <t>Grid DFS with size</t>
  </si>
  <si>
    <t>Surrounded Regions</t>
  </si>
  <si>
    <t>Border DFS then flip</t>
  </si>
  <si>
    <t>Pacific Atlantic Water Flow</t>
  </si>
  <si>
    <t>Reverse DFS from oceans</t>
  </si>
  <si>
    <t>Number of Provinces</t>
  </si>
  <si>
    <t>DFS / Union-Find</t>
  </si>
  <si>
    <t>Keys and Rooms</t>
  </si>
  <si>
    <t>DFS reachability</t>
  </si>
  <si>
    <t>Is Graph Bipartite?</t>
  </si>
  <si>
    <t>2-coloring BFS</t>
  </si>
  <si>
    <t>Reorder Routes to Make All Paths Lead to the City Zero</t>
  </si>
  <si>
    <t>DFS counting reversed edges</t>
  </si>
  <si>
    <t>01 Matrix</t>
  </si>
  <si>
    <t>Multi-source BFS</t>
  </si>
  <si>
    <t>Shortest Path in Binary Matrix</t>
  </si>
  <si>
    <t>BFS 8-direction</t>
  </si>
  <si>
    <t>Open the Lock</t>
  </si>
  <si>
    <t>BFS over states</t>
  </si>
  <si>
    <t>Shortest Bridge</t>
  </si>
  <si>
    <t>DFS island + multi-source BFS</t>
  </si>
  <si>
    <t>Word Ladder</t>
  </si>
  <si>
    <t>BFS over word patterns</t>
  </si>
  <si>
    <t>15. Graphs: Topological Sort, Union-Find, Shortest Path  (14 problems)</t>
  </si>
  <si>
    <t>Graphs: Topological Sort, Union-Find, Shortest Path</t>
  </si>
  <si>
    <t>Course Schedule</t>
  </si>
  <si>
    <t>Kahn's algorithm / cycle detection</t>
  </si>
  <si>
    <t>Course Schedule II</t>
  </si>
  <si>
    <t>Topological order</t>
  </si>
  <si>
    <t>Find Eventual Safe States</t>
  </si>
  <si>
    <t>Reverse graph topo sort</t>
  </si>
  <si>
    <t>Minimum Height Trees</t>
  </si>
  <si>
    <t>Leaf-peeling topo</t>
  </si>
  <si>
    <t>Redundant Connection</t>
  </si>
  <si>
    <t>Union-Find</t>
  </si>
  <si>
    <t>Accounts Merge</t>
  </si>
  <si>
    <t>Union-Find over emails</t>
  </si>
  <si>
    <t>Most Stones Removed with Same Row or Column</t>
  </si>
  <si>
    <t>Union-Find rows/cols</t>
  </si>
  <si>
    <t>Satisfiability of Equality Equations</t>
  </si>
  <si>
    <t>Evaluate Division</t>
  </si>
  <si>
    <t>Weighted graph DFS / Union-Find</t>
  </si>
  <si>
    <t>Network Delay Time</t>
  </si>
  <si>
    <t>Dijkstra</t>
  </si>
  <si>
    <t>Path With Minimum Effort</t>
  </si>
  <si>
    <t>Dijkstra on max-edge</t>
  </si>
  <si>
    <t>Find the City With the Smallest Number of Neighbors at a Threshold Distance</t>
  </si>
  <si>
    <t>Floyd-Warshall</t>
  </si>
  <si>
    <t>Swim in Rising Water</t>
  </si>
  <si>
    <t>Dijkstra / BS + BFS</t>
  </si>
  <si>
    <t>Critical Connections in a Network</t>
  </si>
  <si>
    <t>Tarjan bridges</t>
  </si>
  <si>
    <t>16. 1D Dynamic Programming  (14 problems)</t>
  </si>
  <si>
    <t>1D Dynamic Programming</t>
  </si>
  <si>
    <t>Fibonacci Number</t>
  </si>
  <si>
    <t>Memo / rolling vars</t>
  </si>
  <si>
    <t>Amazon, Zoho</t>
  </si>
  <si>
    <t>N-th Tribonacci Number</t>
  </si>
  <si>
    <t>Rolling vars</t>
  </si>
  <si>
    <t>Delete and Earn</t>
  </si>
  <si>
    <t>House Robber on counts</t>
  </si>
  <si>
    <t>Perfect Squares</t>
  </si>
  <si>
    <t>Unbounded min DP</t>
  </si>
  <si>
    <t>Integer Break</t>
  </si>
  <si>
    <t>Max product DP</t>
  </si>
  <si>
    <t>Wiggle Subsequence</t>
  </si>
  <si>
    <t>Up/down state DP</t>
  </si>
  <si>
    <t>Number of Longest Increasing Subsequence</t>
  </si>
  <si>
    <t>LIS with counts</t>
  </si>
  <si>
    <t>Minimum Cost For Tickets</t>
  </si>
  <si>
    <t>DP over days</t>
  </si>
  <si>
    <t>Maximum Sum Circular Subarray</t>
  </si>
  <si>
    <t>Kadane max &amp; min</t>
  </si>
  <si>
    <t>Domino and Tromino Tiling</t>
  </si>
  <si>
    <t>Recurrence dp[n]=2dp[n-1]+dp[n-3]</t>
  </si>
  <si>
    <t>Best Time to Buy and Sell Stock with Cooldown</t>
  </si>
  <si>
    <t>State machine DP</t>
  </si>
  <si>
    <t>Best Time to Buy and Sell Stock with Transaction Fee</t>
  </si>
  <si>
    <t>Hold/cash DP</t>
  </si>
  <si>
    <t>Best Time to Buy and Sell Stock III</t>
  </si>
  <si>
    <t>4-variable DP</t>
  </si>
  <si>
    <t>Amazon, Microsoft, Goldman Sachs</t>
  </si>
  <si>
    <t>Best Time to Buy and Sell Stock IV</t>
  </si>
  <si>
    <t>k-transaction DP</t>
  </si>
  <si>
    <t>17. 2D / Grid &amp; String DP  (12 problems)</t>
  </si>
  <si>
    <t>2D / Grid &amp; String DP</t>
  </si>
  <si>
    <t>Unique Paths II</t>
  </si>
  <si>
    <t>Grid DP with obstacles</t>
  </si>
  <si>
    <t>Minimum Path Sum</t>
  </si>
  <si>
    <t>Grid DP</t>
  </si>
  <si>
    <t>Triangle</t>
  </si>
  <si>
    <t>Bottom-up DP</t>
  </si>
  <si>
    <t>Maximal Square</t>
  </si>
  <si>
    <t>dp[i][j]=min(3 neighbours)+1</t>
  </si>
  <si>
    <t>Amazon, Google, Meta</t>
  </si>
  <si>
    <t>Longest Common Subsequence</t>
  </si>
  <si>
    <t>2D LCS table</t>
  </si>
  <si>
    <t>Edit Distance</t>
  </si>
  <si>
    <t>2D DP insert/delete/replace</t>
  </si>
  <si>
    <t>Longest Palindromic Subsequence</t>
  </si>
  <si>
    <t>Interval DP / LCS with reverse</t>
  </si>
  <si>
    <t>Interleaving String</t>
  </si>
  <si>
    <t>2D boolean DP</t>
  </si>
  <si>
    <t>Longest Increasing Path in a Matrix</t>
  </si>
  <si>
    <t>DFS + memo</t>
  </si>
  <si>
    <t>Distinct Subsequences</t>
  </si>
  <si>
    <t>2D counting DP</t>
  </si>
  <si>
    <t>Regular Expression Matching</t>
  </si>
  <si>
    <t>2D DP with '*' cases</t>
  </si>
  <si>
    <t>Wildcard Matching</t>
  </si>
  <si>
    <t>2D DP / greedy</t>
  </si>
  <si>
    <t>18. Knapsack, Subsequence &amp; Interval DP  (10 problems)</t>
  </si>
  <si>
    <t>Knapsack, Subsequence &amp; Interval DP</t>
  </si>
  <si>
    <t>Target Sum</t>
  </si>
  <si>
    <t>Subset-sum count</t>
  </si>
  <si>
    <t>Last Stone Weight II</t>
  </si>
  <si>
    <t>0/1 knapsack (min diff)</t>
  </si>
  <si>
    <t>Ones and Zeroes</t>
  </si>
  <si>
    <t>2D 0/1 knapsack</t>
  </si>
  <si>
    <t>Combination Sum IV</t>
  </si>
  <si>
    <t>Unbounded ordered count</t>
  </si>
  <si>
    <t>Solving Questions With Brainpower</t>
  </si>
  <si>
    <t>Suffix DP (take/skip)</t>
  </si>
  <si>
    <t>Maximum Length of Pair Chain</t>
  </si>
  <si>
    <t>Sort + greedy/LIS</t>
  </si>
  <si>
    <t>Russian Doll Envelopes</t>
  </si>
  <si>
    <t>Sort + LIS (patience)</t>
  </si>
  <si>
    <t>Maximum Profit in Job Scheduling</t>
  </si>
  <si>
    <t>Sort + DP + binary search</t>
  </si>
  <si>
    <t>Amazon, Google, Uber</t>
  </si>
  <si>
    <t>Maximum Number of Events That Can Be Attended II</t>
  </si>
  <si>
    <t>DP + binary search (k picks)</t>
  </si>
  <si>
    <t>Burst Balloons</t>
  </si>
  <si>
    <t>Interval DP</t>
  </si>
  <si>
    <t>19. Greedy &amp; Intervals  (12 problems)</t>
  </si>
  <si>
    <t>Greedy &amp; Intervals</t>
  </si>
  <si>
    <t>Can Place Flowers</t>
  </si>
  <si>
    <t>Greedy scan</t>
  </si>
  <si>
    <t>Summary Ranges</t>
  </si>
  <si>
    <t>Scan for runs</t>
  </si>
  <si>
    <t>Maximum Units on a Truck</t>
  </si>
  <si>
    <t>Sort by value</t>
  </si>
  <si>
    <t>Monotone Increasing Digits</t>
  </si>
  <si>
    <t>Right-to-left fix</t>
  </si>
  <si>
    <t>Minimum Number of Arrows to Burst Balloons</t>
  </si>
  <si>
    <t>Sort by end, greedy</t>
  </si>
  <si>
    <t>Remove Covered Intervals</t>
  </si>
  <si>
    <t>Sort + track max end</t>
  </si>
  <si>
    <t>Video Stitching</t>
  </si>
  <si>
    <t>Greedy interval cover</t>
  </si>
  <si>
    <t>Hand of Straights</t>
  </si>
  <si>
    <t>Sorted map greedy</t>
  </si>
  <si>
    <t>Queue Reconstruction by Height</t>
  </si>
  <si>
    <t>Sort + insert</t>
  </si>
  <si>
    <t>My Calendar I</t>
  </si>
  <si>
    <t>Sorted intervals / TreeMap</t>
  </si>
  <si>
    <t>Maximum Number of Events That Can Be Attended</t>
  </si>
  <si>
    <t>Greedy + min-heap by end</t>
  </si>
  <si>
    <t>Minimum Number of Refueling Stops</t>
  </si>
  <si>
    <t>20. Bit Manipulation  (8 problems)</t>
  </si>
  <si>
    <t>Bit Manipulation</t>
  </si>
  <si>
    <t>Number of 1 Bits</t>
  </si>
  <si>
    <t>n &amp; (n-1)</t>
  </si>
  <si>
    <t>Amazon, Microsoft, Apple</t>
  </si>
  <si>
    <t>Counting Bits</t>
  </si>
  <si>
    <t>dp[i]=dp[i&gt;&gt;1]+(i&amp;1)</t>
  </si>
  <si>
    <t>Reverse Bits</t>
  </si>
  <si>
    <t>Bit-by-bit build</t>
  </si>
  <si>
    <t>Amazon, Apple</t>
  </si>
  <si>
    <t>Sum of Two Integers</t>
  </si>
  <si>
    <t>XOR + carry (AND&lt;&lt;1)</t>
  </si>
  <si>
    <t>Single Number II</t>
  </si>
  <si>
    <t>Bit counting mod 3</t>
  </si>
  <si>
    <t>Single Number III</t>
  </si>
  <si>
    <t>XOR split by lowest set bit</t>
  </si>
  <si>
    <t>Bitwise AND of Numbers Range</t>
  </si>
  <si>
    <t>Common prefix of bits</t>
  </si>
  <si>
    <t>Divide Two Integers</t>
  </si>
  <si>
    <t>Bit shifting subtraction</t>
  </si>
  <si>
    <t>21. Math &amp; Number Theory  (8 problems)</t>
  </si>
  <si>
    <t>Math &amp; Number Theory</t>
  </si>
  <si>
    <t>Happy Number</t>
  </si>
  <si>
    <t>Cycle detection</t>
  </si>
  <si>
    <t>Reverse Integer</t>
  </si>
  <si>
    <t>Overflow-safe digit reversal</t>
  </si>
  <si>
    <t>Pow(x, n)</t>
  </si>
  <si>
    <t>Fast exponentiation</t>
  </si>
  <si>
    <t>Amazon, Microsoft, Meta, Goldman Sachs</t>
  </si>
  <si>
    <t>Factorial Trailing Zeroes</t>
  </si>
  <si>
    <t>Count factors of 5</t>
  </si>
  <si>
    <t>Count Primes</t>
  </si>
  <si>
    <t>Sieve of Eratosthenes</t>
  </si>
  <si>
    <t>The kth Factor of n</t>
  </si>
  <si>
    <t>Divisor enumeration to sqrt(n)</t>
  </si>
  <si>
    <t>Fraction to Recurring Decimal</t>
  </si>
  <si>
    <t>Long division + remainder map</t>
  </si>
  <si>
    <t>Max Points on a Line</t>
  </si>
  <si>
    <t>Slope hashing with gcd</t>
  </si>
  <si>
    <t>Amazon, Google, Apple</t>
  </si>
  <si>
    <t>22. Design (LLD-style)  (10 problems)</t>
  </si>
  <si>
    <t>Design (LLD-style)</t>
  </si>
  <si>
    <t>Design HashSet</t>
  </si>
  <si>
    <t>Buckets + chaining</t>
  </si>
  <si>
    <t>Design HashMap</t>
  </si>
  <si>
    <t>Design Circular Queue</t>
  </si>
  <si>
    <t>Ring buffer</t>
  </si>
  <si>
    <t>Insert Delete GetRandom O(1)</t>
  </si>
  <si>
    <t>Array + index map</t>
  </si>
  <si>
    <t>Amazon, Meta, Microsoft, Goldman Sachs</t>
  </si>
  <si>
    <t>Insert Delete GetRandom O(1) - Duplicates allowed</t>
  </si>
  <si>
    <t>Array + map of index sets</t>
  </si>
  <si>
    <t>LRU Cache</t>
  </si>
  <si>
    <t>Hash map + doubly linked list</t>
  </si>
  <si>
    <t>Amazon, Microsoft, Meta, Google, Visa</t>
  </si>
  <si>
    <t>LFU Cache</t>
  </si>
  <si>
    <t>Freq map + DLL per freq</t>
  </si>
  <si>
    <t>Time Based Key-Value Store</t>
  </si>
  <si>
    <t>Map of lists + binary search</t>
  </si>
  <si>
    <t>Design Twitter</t>
  </si>
  <si>
    <t>Heap merge of k feeds</t>
  </si>
  <si>
    <t>Amazon, Twitter</t>
  </si>
  <si>
    <t>Design Underground System</t>
  </si>
  <si>
    <t>Two hash maps</t>
  </si>
  <si>
    <t>Amazon, Bloomberg</t>
  </si>
  <si>
    <t>Problems you have already practiced - with LeetCode numbers</t>
  </si>
  <si>
    <t>Use this sheet for revision. Suggested: re-solve every Medium/Hard here once without looking at notes before interviews.</t>
  </si>
  <si>
    <t>Revised?</t>
  </si>
  <si>
    <t>Arrays  (9)</t>
  </si>
  <si>
    <t>Arrays</t>
  </si>
  <si>
    <t>Remove Duplicates from Sorted Array</t>
  </si>
  <si>
    <t>Remove Element</t>
  </si>
  <si>
    <t>Reverse String</t>
  </si>
  <si>
    <t>Best Time to Buy and Sell Stock</t>
  </si>
  <si>
    <t>Merge Sorted Array</t>
  </si>
  <si>
    <t>Move Zeroes</t>
  </si>
  <si>
    <t>Max Consecutive Ones</t>
  </si>
  <si>
    <t>Missing Number</t>
  </si>
  <si>
    <t>Single Number</t>
  </si>
  <si>
    <t>Linked List  (14)</t>
  </si>
  <si>
    <t>Design Linked List</t>
  </si>
  <si>
    <t>Middle of the Linked List</t>
  </si>
  <si>
    <t>Reverse Linked List</t>
  </si>
  <si>
    <t>Linked List Cycle</t>
  </si>
  <si>
    <t>Palindrome Linked List</t>
  </si>
  <si>
    <t>Intersection of Two Linked Lists</t>
  </si>
  <si>
    <t>Remove Linked List Elements</t>
  </si>
  <si>
    <t>Remove Nth Node From End of List</t>
  </si>
  <si>
    <t>Remove Duplicates from Sorted List</t>
  </si>
  <si>
    <t>Odd Even Linked List</t>
  </si>
  <si>
    <t>Add Two Numbers</t>
  </si>
  <si>
    <t>Merge Two Sorted Lists</t>
  </si>
  <si>
    <t>Rotate List</t>
  </si>
  <si>
    <t>Swap Nodes in Pairs</t>
  </si>
  <si>
    <t>Strings  (19)</t>
  </si>
  <si>
    <t>Strings</t>
  </si>
  <si>
    <t>Length of Last Word</t>
  </si>
  <si>
    <t>Find Words Containing Character</t>
  </si>
  <si>
    <t>Jewels and Stones</t>
  </si>
  <si>
    <t>Find Most Frequent Vowel and Consonant</t>
  </si>
  <si>
    <t>Split a String in Balanced Strings</t>
  </si>
  <si>
    <t>Reverse String II</t>
  </si>
  <si>
    <t>Valid Palindrome</t>
  </si>
  <si>
    <t>Largest Odd Number in String</t>
  </si>
  <si>
    <t>Longest Common Prefix</t>
  </si>
  <si>
    <t>Valid Anagram</t>
  </si>
  <si>
    <t>Isomorphic Strings</t>
  </si>
  <si>
    <t>Group Anagrams</t>
  </si>
  <si>
    <t>Minimum Add to Make Parentheses Valid</t>
  </si>
  <si>
    <t>Reverse Words in a String</t>
  </si>
  <si>
    <t>Sum of Beauty of All Substrings</t>
  </si>
  <si>
    <t>Decode String</t>
  </si>
  <si>
    <t>Count and Say</t>
  </si>
  <si>
    <t>Reorganize String</t>
  </si>
  <si>
    <t>Repeated String Match</t>
  </si>
  <si>
    <t>Stack &amp; Queue  (10)</t>
  </si>
  <si>
    <t>Stack &amp; Queue</t>
  </si>
  <si>
    <t>Implement Stack using Queues</t>
  </si>
  <si>
    <t>Implement Queue using Stacks</t>
  </si>
  <si>
    <t>Valid Parentheses</t>
  </si>
  <si>
    <t>Min Stack</t>
  </si>
  <si>
    <t>Remove Outermost Parentheses</t>
  </si>
  <si>
    <t>Evaluate Reverse Polish Notation</t>
  </si>
  <si>
    <t>Next Greater Element I</t>
  </si>
  <si>
    <t>Daily Temperatures</t>
  </si>
  <si>
    <t>Next Greater Element II</t>
  </si>
  <si>
    <t>Rotting Oranges</t>
  </si>
  <si>
    <t>Binary Search  (10)</t>
  </si>
  <si>
    <t>Sqrt(x)</t>
  </si>
  <si>
    <t>Guess Number Higher or Lower</t>
  </si>
  <si>
    <t>Search in Rotated Sorted Array</t>
  </si>
  <si>
    <t>First Bad Version</t>
  </si>
  <si>
    <t>Find Peak Element</t>
  </si>
  <si>
    <t>Find Minimum in Rotated Sorted Array</t>
  </si>
  <si>
    <t>Find First and Last Position of Element in Sorted Array</t>
  </si>
  <si>
    <t>Peak Index in a Mountain Array</t>
  </si>
  <si>
    <t>Single Element in a Sorted Array</t>
  </si>
  <si>
    <t>Find K Closest Elements</t>
  </si>
  <si>
    <t>Two Pointers &amp; Sliding Window  (11)</t>
  </si>
  <si>
    <t>Two Pointers &amp; Sliding Window</t>
  </si>
  <si>
    <t>Two Sum</t>
  </si>
  <si>
    <t>Two Sum II - Input Array Is Sorted</t>
  </si>
  <si>
    <t>Is Subsequence</t>
  </si>
  <si>
    <t>Find the Index of the First Occurrence in a String</t>
  </si>
  <si>
    <t>Container With Most Water</t>
  </si>
  <si>
    <t>3Sum</t>
  </si>
  <si>
    <t>Trapping Rain Water</t>
  </si>
  <si>
    <t>Longest Substring Without Repeating Characters</t>
  </si>
  <si>
    <t>Longest Repeating Character Replacement</t>
  </si>
  <si>
    <t>Permutation in String</t>
  </si>
  <si>
    <t>Sliding Window Maximum</t>
  </si>
  <si>
    <t>Binary Trees  (18)</t>
  </si>
  <si>
    <t>Binary Tree Preorder Traversal</t>
  </si>
  <si>
    <t>Binary Tree Inorder Traversal</t>
  </si>
  <si>
    <t>Binary Tree Postorder Traversal</t>
  </si>
  <si>
    <t>Binary Tree Level Order Traversal</t>
  </si>
  <si>
    <t>Maximum Depth of Binary Tree</t>
  </si>
  <si>
    <t>Path Sum</t>
  </si>
  <si>
    <t>Symmetric Tree</t>
  </si>
  <si>
    <t>Invert Binary Tree</t>
  </si>
  <si>
    <t>Same Tree</t>
  </si>
  <si>
    <t>Balanced Binary Tree</t>
  </si>
  <si>
    <t>Diameter of Binary Tree</t>
  </si>
  <si>
    <t>Binary Tree Zigzag Level Order Traversal</t>
  </si>
  <si>
    <t>Subtree of Another Tree</t>
  </si>
  <si>
    <t>Lowest Common Ancestor of a Binary Tree</t>
  </si>
  <si>
    <t>Binary Tree Right Side View</t>
  </si>
  <si>
    <t>Count Good Nodes in Binary Tree</t>
  </si>
  <si>
    <t>Populating Next Right Pointers in Each Node</t>
  </si>
  <si>
    <t>Binary Tree Maximum Path Sum</t>
  </si>
  <si>
    <t>BST  (5)</t>
  </si>
  <si>
    <t>BST</t>
  </si>
  <si>
    <t>Validate Binary Search Tree</t>
  </si>
  <si>
    <t>Search in a Binary Search Tree</t>
  </si>
  <si>
    <t>Insert into a Binary Search Tree</t>
  </si>
  <si>
    <t>Kth Smallest Element in a BST</t>
  </si>
  <si>
    <t>Lowest Common Ancestor of a Binary Search Tree</t>
  </si>
  <si>
    <t>Heap  (5)</t>
  </si>
  <si>
    <t>Heap</t>
  </si>
  <si>
    <t>Kth Largest Element in an Array</t>
  </si>
  <si>
    <t>Kth Largest Element in a Stream</t>
  </si>
  <si>
    <t>Last Stone Weight</t>
  </si>
  <si>
    <t>Top K Frequent Elements</t>
  </si>
  <si>
    <t>Kth Smallest Element in a Sorted Matrix</t>
  </si>
  <si>
    <t>Backtracking  (12)</t>
  </si>
  <si>
    <t>Subsets</t>
  </si>
  <si>
    <t>Combinations</t>
  </si>
  <si>
    <t>Permutations</t>
  </si>
  <si>
    <t>Subsets II</t>
  </si>
  <si>
    <t>Combination Sum</t>
  </si>
  <si>
    <t>Combination Sum II</t>
  </si>
  <si>
    <t>Combination Sum III</t>
  </si>
  <si>
    <t>Letter Combinations of a Phone Number</t>
  </si>
  <si>
    <t>Permutations II</t>
  </si>
  <si>
    <t>Palindrome Partitioning</t>
  </si>
  <si>
    <t>Word Search</t>
  </si>
  <si>
    <t>N-Queens</t>
  </si>
  <si>
    <t>Greedy  (12)</t>
  </si>
  <si>
    <t>Greedy</t>
  </si>
  <si>
    <t>Two City Scheduling</t>
  </si>
  <si>
    <t>Assign Cookies</t>
  </si>
  <si>
    <t>Lemonade Change</t>
  </si>
  <si>
    <t>Best Time to Buy and Sell Stock II</t>
  </si>
  <si>
    <t>Insert Interval</t>
  </si>
  <si>
    <t>Merge Intervals</t>
  </si>
  <si>
    <t>Partition Labels</t>
  </si>
  <si>
    <t>Non-overlapping Intervals</t>
  </si>
  <si>
    <t>Task Scheduler</t>
  </si>
  <si>
    <t>Gas Station</t>
  </si>
  <si>
    <t>Car Pooling</t>
  </si>
  <si>
    <t>Candy</t>
  </si>
  <si>
    <t>Dynamic Programming  (19)</t>
  </si>
  <si>
    <t>Dynamic Programming</t>
  </si>
  <si>
    <t>Climbing Stairs</t>
  </si>
  <si>
    <t>Min Cost Climbing Stairs</t>
  </si>
  <si>
    <t>House Robber</t>
  </si>
  <si>
    <t>House Robber II</t>
  </si>
  <si>
    <t>Coin Change</t>
  </si>
  <si>
    <t>Palindromic Substrings</t>
  </si>
  <si>
    <t>Longest Palindromic Substring</t>
  </si>
  <si>
    <t>Decode Ways</t>
  </si>
  <si>
    <t>Maximum Subarray</t>
  </si>
  <si>
    <t>Maximum Product Subarray</t>
  </si>
  <si>
    <t>Word Break</t>
  </si>
  <si>
    <t>Longest Increasing Subsequence</t>
  </si>
  <si>
    <t>Partition Equal Subset Sum</t>
  </si>
  <si>
    <t>Coin Change II</t>
  </si>
  <si>
    <t>Unique Paths</t>
  </si>
  <si>
    <t>Jump Game</t>
  </si>
  <si>
    <t>Jump Game II</t>
  </si>
  <si>
    <t>Minimum Cost to Cut a Stick</t>
  </si>
  <si>
    <t>Super Egg Drop</t>
  </si>
  <si>
    <t>Graphs  (10)</t>
  </si>
  <si>
    <t>Graphs</t>
  </si>
  <si>
    <t>Clone Graph</t>
  </si>
  <si>
    <t>Find if Path Exists in Graph</t>
  </si>
  <si>
    <t>All Paths From Source to Target</t>
  </si>
  <si>
    <t>Reconstruct Itinerary</t>
  </si>
  <si>
    <t>GfG</t>
  </si>
  <si>
    <t>Detect Cycle in Undirected Graph (GfG; closest LC: 684 Redundant Connection)</t>
  </si>
  <si>
    <t>-</t>
  </si>
  <si>
    <t>Topological Sort - DFS (GfG; closest LC: 207/210 Course Schedule)</t>
  </si>
  <si>
    <t>Number of Operations to Make Network Connected</t>
  </si>
  <si>
    <t>Cheapest Flights Within K Stops</t>
  </si>
  <si>
    <t>Number of Ways to Arrive at Destination</t>
  </si>
  <si>
    <t>Min Cost to Connect All Points</t>
  </si>
  <si>
    <t>done</t>
  </si>
  <si>
    <t>do check it once very different approach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</si>
</sst>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7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9"/>
      <name val="Arial"/>
      <charset val="1"/>
    </font>
    <font>
      <u/>
      <sz val="10"/>
      <color rgb="FF0563C1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FFFCC"/>
        <bgColor rgb="FFFFF2CC"/>
      </patternFill>
    </fill>
    <fill>
      <patternFill patternType="solid">
        <fgColor rgb="FFFFF2CC"/>
        <bgColor rgb="FFFFFFCC"/>
      </patternFill>
    </fill>
    <fill>
      <patternFill patternType="solid">
        <fgColor rgb="FFFCE4D6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3" borderId="1" xfId="0" applyFont="1" applyFill="1" applyBorder="1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9" fontId="4" fillId="3" borderId="1" xfId="0" applyNumberFormat="1" applyFont="1" applyFill="1" applyBorder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5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5" borderId="1" xfId="0" applyFill="1" applyBorder="1"/>
    <xf numFmtId="0" fontId="3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0" xfId="0" applyFont="1" applyAlignment="1">
      <alignment vertical="top" wrapText="1"/>
    </xf>
    <xf numFmtId="0" fontId="4" fillId="3" borderId="1" xfId="0" applyFont="1" applyFill="1" applyBorder="1"/>
  </cellXfs>
  <cellStyles count="1">
    <cellStyle name="Normal" xfId="0" builtinId="0"/>
  </cellStyles>
  <dxfs count="1"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2EFDA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2CC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zoomScaleNormal="100" workbookViewId="0"/>
  </sheetViews>
  <sheetFormatPr defaultColWidth="8.6640625" defaultRowHeight="14.4" x14ac:dyDescent="0.3"/>
  <cols>
    <col min="1" max="1" width="50" customWidth="1"/>
    <col min="2" max="2" width="10" customWidth="1"/>
    <col min="3" max="3" width="8" customWidth="1"/>
    <col min="4" max="4" width="9" customWidth="1"/>
    <col min="5" max="6" width="8" customWidth="1"/>
    <col min="7" max="7" width="9" customWidth="1"/>
  </cols>
  <sheetData>
    <row r="1" spans="1:7" ht="16.8" x14ac:dyDescent="0.3">
      <c r="A1" s="2" t="s">
        <v>0</v>
      </c>
    </row>
    <row r="3" spans="1:7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1:7" x14ac:dyDescent="0.3">
      <c r="A4" s="4" t="s">
        <v>8</v>
      </c>
      <c r="B4" s="5">
        <f>COUNTA('Practice 250'!D6:D23)</f>
        <v>18</v>
      </c>
      <c r="C4" s="5">
        <f>COUNTIF('Practice 250'!E6:E23,"Easy")</f>
        <v>4</v>
      </c>
      <c r="D4" s="5">
        <f>COUNTIF('Practice 250'!E6:E23,"Medium")</f>
        <v>13</v>
      </c>
      <c r="E4" s="5">
        <f>COUNTIF('Practice 250'!E6:E23,"Hard")</f>
        <v>1</v>
      </c>
      <c r="F4" s="5">
        <f>COUNTIF('Practice 250'!I6:I23,"Done")</f>
        <v>13</v>
      </c>
      <c r="G4" s="6">
        <f t="shared" ref="G4:G26" si="0">IF(B4=0,0,F4/B4)</f>
        <v>0.72222222222222221</v>
      </c>
    </row>
    <row r="5" spans="1:7" x14ac:dyDescent="0.3">
      <c r="A5" s="4" t="s">
        <v>9</v>
      </c>
      <c r="B5" s="5">
        <f>COUNTA('Practice 250'!D25:D34)</f>
        <v>10</v>
      </c>
      <c r="C5" s="5">
        <f>COUNTIF('Practice 250'!E25:E34,"Easy")</f>
        <v>3</v>
      </c>
      <c r="D5" s="5">
        <f>COUNTIF('Practice 250'!E25:E34,"Medium")</f>
        <v>7</v>
      </c>
      <c r="E5" s="5">
        <f>COUNTIF('Practice 250'!E25:E34,"Hard")</f>
        <v>0</v>
      </c>
      <c r="F5" s="5">
        <f>COUNTIF('Practice 250'!I25:I34,"Done")</f>
        <v>1</v>
      </c>
      <c r="G5" s="6">
        <f t="shared" si="0"/>
        <v>0.1</v>
      </c>
    </row>
    <row r="6" spans="1:7" x14ac:dyDescent="0.3">
      <c r="A6" s="4" t="s">
        <v>10</v>
      </c>
      <c r="B6" s="5">
        <f>COUNTA('Practice 250'!D36:D45)</f>
        <v>10</v>
      </c>
      <c r="C6" s="5">
        <f>COUNTIF('Practice 250'!E36:E45,"Easy")</f>
        <v>3</v>
      </c>
      <c r="D6" s="5">
        <f>COUNTIF('Practice 250'!E36:E45,"Medium")</f>
        <v>7</v>
      </c>
      <c r="E6" s="5">
        <f>COUNTIF('Practice 250'!E36:E45,"Hard")</f>
        <v>0</v>
      </c>
      <c r="F6" s="5">
        <f>COUNTIF('Practice 250'!I36:I45,"Done")</f>
        <v>0</v>
      </c>
      <c r="G6" s="6">
        <f t="shared" si="0"/>
        <v>0</v>
      </c>
    </row>
    <row r="7" spans="1:7" x14ac:dyDescent="0.3">
      <c r="A7" s="4" t="s">
        <v>11</v>
      </c>
      <c r="B7" s="5">
        <f>COUNTA('Practice 250'!D47:D58)</f>
        <v>12</v>
      </c>
      <c r="C7" s="5">
        <f>COUNTIF('Practice 250'!E47:E58,"Easy")</f>
        <v>1</v>
      </c>
      <c r="D7" s="5">
        <f>COUNTIF('Practice 250'!E47:E58,"Medium")</f>
        <v>9</v>
      </c>
      <c r="E7" s="5">
        <f>COUNTIF('Practice 250'!E47:E58,"Hard")</f>
        <v>2</v>
      </c>
      <c r="F7" s="5">
        <f>COUNTIF('Practice 250'!I47:I58,"Done")</f>
        <v>0</v>
      </c>
      <c r="G7" s="6">
        <f t="shared" si="0"/>
        <v>0</v>
      </c>
    </row>
    <row r="8" spans="1:7" x14ac:dyDescent="0.3">
      <c r="A8" s="4" t="s">
        <v>12</v>
      </c>
      <c r="B8" s="5">
        <f>COUNTA('Practice 250'!D60:D71)</f>
        <v>12</v>
      </c>
      <c r="C8" s="5">
        <f>COUNTIF('Practice 250'!E60:E71,"Easy")</f>
        <v>0</v>
      </c>
      <c r="D8" s="5">
        <f>COUNTIF('Practice 250'!E60:E71,"Medium")</f>
        <v>8</v>
      </c>
      <c r="E8" s="5">
        <f>COUNTIF('Practice 250'!E60:E71,"Hard")</f>
        <v>4</v>
      </c>
      <c r="F8" s="5">
        <f>COUNTIF('Practice 250'!I60:I71,"Done")</f>
        <v>0</v>
      </c>
      <c r="G8" s="6">
        <f t="shared" si="0"/>
        <v>0</v>
      </c>
    </row>
    <row r="9" spans="1:7" x14ac:dyDescent="0.3">
      <c r="A9" s="4" t="s">
        <v>13</v>
      </c>
      <c r="B9" s="5">
        <f>COUNTA('Practice 250'!D73:D84)</f>
        <v>12</v>
      </c>
      <c r="C9" s="5">
        <f>COUNTIF('Practice 250'!E73:E84,"Easy")</f>
        <v>3</v>
      </c>
      <c r="D9" s="5">
        <f>COUNTIF('Practice 250'!E73:E84,"Medium")</f>
        <v>6</v>
      </c>
      <c r="E9" s="5">
        <f>COUNTIF('Practice 250'!E73:E84,"Hard")</f>
        <v>3</v>
      </c>
      <c r="F9" s="5">
        <f>COUNTIF('Practice 250'!I73:I84,"Done")</f>
        <v>0</v>
      </c>
      <c r="G9" s="6">
        <f t="shared" si="0"/>
        <v>0</v>
      </c>
    </row>
    <row r="10" spans="1:7" x14ac:dyDescent="0.3">
      <c r="A10" s="4" t="s">
        <v>14</v>
      </c>
      <c r="B10" s="5">
        <f>COUNTA('Practice 250'!D86:D97)</f>
        <v>12</v>
      </c>
      <c r="C10" s="5">
        <f>COUNTIF('Practice 250'!E86:E97,"Easy")</f>
        <v>0</v>
      </c>
      <c r="D10" s="5">
        <f>COUNTIF('Practice 250'!E86:E97,"Medium")</f>
        <v>10</v>
      </c>
      <c r="E10" s="5">
        <f>COUNTIF('Practice 250'!E86:E97,"Hard")</f>
        <v>2</v>
      </c>
      <c r="F10" s="5">
        <f>COUNTIF('Practice 250'!I86:I97,"Done")</f>
        <v>0</v>
      </c>
      <c r="G10" s="6">
        <f t="shared" si="0"/>
        <v>0</v>
      </c>
    </row>
    <row r="11" spans="1:7" x14ac:dyDescent="0.3">
      <c r="A11" s="4" t="s">
        <v>15</v>
      </c>
      <c r="B11" s="5">
        <f>COUNTA('Practice 250'!D99:D110)</f>
        <v>12</v>
      </c>
      <c r="C11" s="5">
        <f>COUNTIF('Practice 250'!E99:E110,"Easy")</f>
        <v>5</v>
      </c>
      <c r="D11" s="5">
        <f>COUNTIF('Practice 250'!E99:E110,"Medium")</f>
        <v>6</v>
      </c>
      <c r="E11" s="5">
        <f>COUNTIF('Practice 250'!E99:E110,"Hard")</f>
        <v>1</v>
      </c>
      <c r="F11" s="5">
        <f>COUNTIF('Practice 250'!I99:I110,"Done")</f>
        <v>0</v>
      </c>
      <c r="G11" s="6">
        <f t="shared" si="0"/>
        <v>0</v>
      </c>
    </row>
    <row r="12" spans="1:7" x14ac:dyDescent="0.3">
      <c r="A12" s="4" t="s">
        <v>16</v>
      </c>
      <c r="B12" s="5">
        <f>COUNTA('Practice 250'!D112:D125)</f>
        <v>14</v>
      </c>
      <c r="C12" s="5">
        <f>COUNTIF('Practice 250'!E112:E125,"Easy")</f>
        <v>1</v>
      </c>
      <c r="D12" s="5">
        <f>COUNTIF('Practice 250'!E112:E125,"Medium")</f>
        <v>10</v>
      </c>
      <c r="E12" s="5">
        <f>COUNTIF('Practice 250'!E112:E125,"Hard")</f>
        <v>3</v>
      </c>
      <c r="F12" s="5">
        <f>COUNTIF('Practice 250'!I112:I125,"Done")</f>
        <v>0</v>
      </c>
      <c r="G12" s="6">
        <f t="shared" si="0"/>
        <v>0</v>
      </c>
    </row>
    <row r="13" spans="1:7" x14ac:dyDescent="0.3">
      <c r="A13" s="4" t="s">
        <v>17</v>
      </c>
      <c r="B13" s="5">
        <f>COUNTA('Practice 250'!D127:D134)</f>
        <v>8</v>
      </c>
      <c r="C13" s="5">
        <f>COUNTIF('Practice 250'!E127:E134,"Easy")</f>
        <v>1</v>
      </c>
      <c r="D13" s="5">
        <f>COUNTIF('Practice 250'!E127:E134,"Medium")</f>
        <v>7</v>
      </c>
      <c r="E13" s="5">
        <f>COUNTIF('Practice 250'!E127:E134,"Hard")</f>
        <v>0</v>
      </c>
      <c r="F13" s="5">
        <f>COUNTIF('Practice 250'!I127:I134,"Done")</f>
        <v>0</v>
      </c>
      <c r="G13" s="6">
        <f t="shared" si="0"/>
        <v>0</v>
      </c>
    </row>
    <row r="14" spans="1:7" x14ac:dyDescent="0.3">
      <c r="A14" s="4" t="s">
        <v>18</v>
      </c>
      <c r="B14" s="5">
        <f>COUNTA('Practice 250'!D136:D147)</f>
        <v>12</v>
      </c>
      <c r="C14" s="5">
        <f>COUNTIF('Practice 250'!E136:E147,"Easy")</f>
        <v>0</v>
      </c>
      <c r="D14" s="5">
        <f>COUNTIF('Practice 250'!E136:E147,"Medium")</f>
        <v>8</v>
      </c>
      <c r="E14" s="5">
        <f>COUNTIF('Practice 250'!E136:E147,"Hard")</f>
        <v>4</v>
      </c>
      <c r="F14" s="5">
        <f>COUNTIF('Practice 250'!I136:I147,"Done")</f>
        <v>0</v>
      </c>
      <c r="G14" s="6">
        <f t="shared" si="0"/>
        <v>0</v>
      </c>
    </row>
    <row r="15" spans="1:7" x14ac:dyDescent="0.3">
      <c r="A15" s="4" t="s">
        <v>19</v>
      </c>
      <c r="B15" s="5">
        <f>COUNTA('Practice 250'!D149:D154)</f>
        <v>6</v>
      </c>
      <c r="C15" s="5">
        <f>COUNTIF('Practice 250'!E149:E154,"Easy")</f>
        <v>0</v>
      </c>
      <c r="D15" s="5">
        <f>COUNTIF('Practice 250'!E149:E154,"Medium")</f>
        <v>5</v>
      </c>
      <c r="E15" s="5">
        <f>COUNTIF('Practice 250'!E149:E154,"Hard")</f>
        <v>1</v>
      </c>
      <c r="F15" s="5">
        <f>COUNTIF('Practice 250'!I149:I154,"Done")</f>
        <v>0</v>
      </c>
      <c r="G15" s="6">
        <f t="shared" si="0"/>
        <v>0</v>
      </c>
    </row>
    <row r="16" spans="1:7" x14ac:dyDescent="0.3">
      <c r="A16" s="4" t="s">
        <v>20</v>
      </c>
      <c r="B16" s="5">
        <f>COUNTA('Practice 250'!D156:D165)</f>
        <v>10</v>
      </c>
      <c r="C16" s="5">
        <f>COUNTIF('Practice 250'!E156:E165,"Easy")</f>
        <v>0</v>
      </c>
      <c r="D16" s="5">
        <f>COUNTIF('Practice 250'!E156:E165,"Medium")</f>
        <v>7</v>
      </c>
      <c r="E16" s="5">
        <f>COUNTIF('Practice 250'!E156:E165,"Hard")</f>
        <v>3</v>
      </c>
      <c r="F16" s="5">
        <f>COUNTIF('Practice 250'!I156:I165,"Done")</f>
        <v>0</v>
      </c>
      <c r="G16" s="6">
        <f t="shared" si="0"/>
        <v>0</v>
      </c>
    </row>
    <row r="17" spans="1:7" x14ac:dyDescent="0.3">
      <c r="A17" s="4" t="s">
        <v>21</v>
      </c>
      <c r="B17" s="5">
        <f>COUNTA('Practice 250'!D167:D180)</f>
        <v>14</v>
      </c>
      <c r="C17" s="5">
        <f>COUNTIF('Practice 250'!E167:E180,"Easy")</f>
        <v>1</v>
      </c>
      <c r="D17" s="5">
        <f>COUNTIF('Practice 250'!E167:E180,"Medium")</f>
        <v>12</v>
      </c>
      <c r="E17" s="5">
        <f>COUNTIF('Practice 250'!E167:E180,"Hard")</f>
        <v>1</v>
      </c>
      <c r="F17" s="5">
        <f>COUNTIF('Practice 250'!I167:I180,"Done")</f>
        <v>0</v>
      </c>
      <c r="G17" s="6">
        <f t="shared" si="0"/>
        <v>0</v>
      </c>
    </row>
    <row r="18" spans="1:7" x14ac:dyDescent="0.3">
      <c r="A18" s="4" t="s">
        <v>22</v>
      </c>
      <c r="B18" s="5">
        <f>COUNTA('Practice 250'!D182:D195)</f>
        <v>14</v>
      </c>
      <c r="C18" s="5">
        <f>COUNTIF('Practice 250'!E182:E195,"Easy")</f>
        <v>0</v>
      </c>
      <c r="D18" s="5">
        <f>COUNTIF('Practice 250'!E182:E195,"Medium")</f>
        <v>12</v>
      </c>
      <c r="E18" s="5">
        <f>COUNTIF('Practice 250'!E182:E195,"Hard")</f>
        <v>2</v>
      </c>
      <c r="F18" s="5">
        <f>COUNTIF('Practice 250'!I182:I195,"Done")</f>
        <v>0</v>
      </c>
      <c r="G18" s="6">
        <f t="shared" si="0"/>
        <v>0</v>
      </c>
    </row>
    <row r="19" spans="1:7" x14ac:dyDescent="0.3">
      <c r="A19" s="4" t="s">
        <v>23</v>
      </c>
      <c r="B19" s="5">
        <f>COUNTA('Practice 250'!D197:D210)</f>
        <v>14</v>
      </c>
      <c r="C19" s="5">
        <f>COUNTIF('Practice 250'!E197:E210,"Easy")</f>
        <v>2</v>
      </c>
      <c r="D19" s="5">
        <f>COUNTIF('Practice 250'!E197:E210,"Medium")</f>
        <v>10</v>
      </c>
      <c r="E19" s="5">
        <f>COUNTIF('Practice 250'!E197:E210,"Hard")</f>
        <v>2</v>
      </c>
      <c r="F19" s="5">
        <f>COUNTIF('Practice 250'!I197:I210,"Done")</f>
        <v>0</v>
      </c>
      <c r="G19" s="6">
        <f t="shared" si="0"/>
        <v>0</v>
      </c>
    </row>
    <row r="20" spans="1:7" x14ac:dyDescent="0.3">
      <c r="A20" s="4" t="s">
        <v>24</v>
      </c>
      <c r="B20" s="5">
        <f>COUNTA('Practice 250'!D212:D223)</f>
        <v>12</v>
      </c>
      <c r="C20" s="5">
        <f>COUNTIF('Practice 250'!E212:E223,"Easy")</f>
        <v>0</v>
      </c>
      <c r="D20" s="5">
        <f>COUNTIF('Practice 250'!E212:E223,"Medium")</f>
        <v>8</v>
      </c>
      <c r="E20" s="5">
        <f>COUNTIF('Practice 250'!E212:E223,"Hard")</f>
        <v>4</v>
      </c>
      <c r="F20" s="5">
        <f>COUNTIF('Practice 250'!I212:I223,"Done")</f>
        <v>0</v>
      </c>
      <c r="G20" s="6">
        <f t="shared" si="0"/>
        <v>0</v>
      </c>
    </row>
    <row r="21" spans="1:7" x14ac:dyDescent="0.3">
      <c r="A21" s="4" t="s">
        <v>25</v>
      </c>
      <c r="B21" s="5">
        <f>COUNTA('Practice 250'!D225:D234)</f>
        <v>10</v>
      </c>
      <c r="C21" s="5">
        <f>COUNTIF('Practice 250'!E225:E234,"Easy")</f>
        <v>0</v>
      </c>
      <c r="D21" s="5">
        <f>COUNTIF('Practice 250'!E225:E234,"Medium")</f>
        <v>6</v>
      </c>
      <c r="E21" s="5">
        <f>COUNTIF('Practice 250'!E225:E234,"Hard")</f>
        <v>4</v>
      </c>
      <c r="F21" s="5">
        <f>COUNTIF('Practice 250'!I225:I234,"Done")</f>
        <v>0</v>
      </c>
      <c r="G21" s="6">
        <f t="shared" si="0"/>
        <v>0</v>
      </c>
    </row>
    <row r="22" spans="1:7" x14ac:dyDescent="0.3">
      <c r="A22" s="4" t="s">
        <v>26</v>
      </c>
      <c r="B22" s="5">
        <f>COUNTA('Practice 250'!D236:D247)</f>
        <v>12</v>
      </c>
      <c r="C22" s="5">
        <f>COUNTIF('Practice 250'!E236:E247,"Easy")</f>
        <v>3</v>
      </c>
      <c r="D22" s="5">
        <f>COUNTIF('Practice 250'!E236:E247,"Medium")</f>
        <v>8</v>
      </c>
      <c r="E22" s="5">
        <f>COUNTIF('Practice 250'!E236:E247,"Hard")</f>
        <v>1</v>
      </c>
      <c r="F22" s="5">
        <f>COUNTIF('Practice 250'!I236:I247,"Done")</f>
        <v>0</v>
      </c>
      <c r="G22" s="6">
        <f t="shared" si="0"/>
        <v>0</v>
      </c>
    </row>
    <row r="23" spans="1:7" x14ac:dyDescent="0.3">
      <c r="A23" s="4" t="s">
        <v>27</v>
      </c>
      <c r="B23" s="5">
        <f>COUNTA('Practice 250'!D249:D256)</f>
        <v>8</v>
      </c>
      <c r="C23" s="5">
        <f>COUNTIF('Practice 250'!E249:E256,"Easy")</f>
        <v>3</v>
      </c>
      <c r="D23" s="5">
        <f>COUNTIF('Practice 250'!E249:E256,"Medium")</f>
        <v>5</v>
      </c>
      <c r="E23" s="5">
        <f>COUNTIF('Practice 250'!E249:E256,"Hard")</f>
        <v>0</v>
      </c>
      <c r="F23" s="5">
        <f>COUNTIF('Practice 250'!I249:I256,"Done")</f>
        <v>0</v>
      </c>
      <c r="G23" s="6">
        <f t="shared" si="0"/>
        <v>0</v>
      </c>
    </row>
    <row r="24" spans="1:7" x14ac:dyDescent="0.3">
      <c r="A24" s="4" t="s">
        <v>28</v>
      </c>
      <c r="B24" s="5">
        <f>COUNTA('Practice 250'!D258:D265)</f>
        <v>8</v>
      </c>
      <c r="C24" s="5">
        <f>COUNTIF('Practice 250'!E258:E265,"Easy")</f>
        <v>1</v>
      </c>
      <c r="D24" s="5">
        <f>COUNTIF('Practice 250'!E258:E265,"Medium")</f>
        <v>6</v>
      </c>
      <c r="E24" s="5">
        <f>COUNTIF('Practice 250'!E258:E265,"Hard")</f>
        <v>1</v>
      </c>
      <c r="F24" s="5">
        <f>COUNTIF('Practice 250'!I258:I265,"Done")</f>
        <v>0</v>
      </c>
      <c r="G24" s="6">
        <f t="shared" si="0"/>
        <v>0</v>
      </c>
    </row>
    <row r="25" spans="1:7" x14ac:dyDescent="0.3">
      <c r="A25" s="4" t="s">
        <v>29</v>
      </c>
      <c r="B25" s="5">
        <f>COUNTA('Practice 250'!D267:D276)</f>
        <v>10</v>
      </c>
      <c r="C25" s="5">
        <f>COUNTIF('Practice 250'!E267:E276,"Easy")</f>
        <v>2</v>
      </c>
      <c r="D25" s="5">
        <f>COUNTIF('Practice 250'!E267:E276,"Medium")</f>
        <v>6</v>
      </c>
      <c r="E25" s="5">
        <f>COUNTIF('Practice 250'!E267:E276,"Hard")</f>
        <v>2</v>
      </c>
      <c r="F25" s="5">
        <f>COUNTIF('Practice 250'!I267:I276,"Done")</f>
        <v>0</v>
      </c>
      <c r="G25" s="6">
        <f t="shared" si="0"/>
        <v>0</v>
      </c>
    </row>
    <row r="26" spans="1:7" x14ac:dyDescent="0.3">
      <c r="A26" s="1" t="s">
        <v>30</v>
      </c>
      <c r="B26" s="7">
        <f>SUM(B4:B25)</f>
        <v>250</v>
      </c>
      <c r="C26" s="7">
        <f>SUM(C4:C25)</f>
        <v>33</v>
      </c>
      <c r="D26" s="7">
        <f>SUM(D4:D25)</f>
        <v>176</v>
      </c>
      <c r="E26" s="7">
        <f>SUM(E4:E25)</f>
        <v>41</v>
      </c>
      <c r="F26" s="7">
        <f>SUM(F4:F25)</f>
        <v>14</v>
      </c>
      <c r="G26" s="8">
        <f t="shared" si="0"/>
        <v>5.6000000000000001E-2</v>
      </c>
    </row>
    <row r="28" spans="1:7" x14ac:dyDescent="0.3">
      <c r="A28" s="9" t="s">
        <v>31</v>
      </c>
      <c r="B28" s="10">
        <f>COUNTA('Already Solved'!D5:D171)</f>
        <v>154</v>
      </c>
    </row>
    <row r="29" spans="1:7" x14ac:dyDescent="0.3">
      <c r="A29" s="9" t="s">
        <v>32</v>
      </c>
      <c r="B29" s="10">
        <f>B26+B28</f>
        <v>404</v>
      </c>
    </row>
    <row r="31" spans="1:7" ht="25.5" customHeight="1" x14ac:dyDescent="0.3">
      <c r="A31" s="31" t="s">
        <v>33</v>
      </c>
      <c r="B31" s="31"/>
      <c r="C31" s="31"/>
      <c r="D31" s="31"/>
      <c r="E31" s="31"/>
      <c r="F31" s="31"/>
      <c r="G31" s="31"/>
    </row>
    <row r="32" spans="1:7" ht="25.5" customHeight="1" x14ac:dyDescent="0.3">
      <c r="A32" s="31" t="s">
        <v>34</v>
      </c>
      <c r="B32" s="31"/>
      <c r="C32" s="31"/>
      <c r="D32" s="31"/>
      <c r="E32" s="31"/>
      <c r="F32" s="31"/>
      <c r="G32" s="31"/>
    </row>
    <row r="33" spans="1:7" ht="25.5" customHeight="1" x14ac:dyDescent="0.3">
      <c r="A33" s="31" t="s">
        <v>35</v>
      </c>
      <c r="B33" s="31"/>
      <c r="C33" s="31"/>
      <c r="D33" s="31"/>
      <c r="E33" s="31"/>
      <c r="F33" s="31"/>
      <c r="G33" s="31"/>
    </row>
    <row r="34" spans="1:7" ht="25.5" customHeight="1" x14ac:dyDescent="0.3">
      <c r="A34" s="31" t="s">
        <v>36</v>
      </c>
      <c r="B34" s="31"/>
      <c r="C34" s="31"/>
      <c r="D34" s="31"/>
      <c r="E34" s="31"/>
      <c r="F34" s="31"/>
      <c r="G34" s="31"/>
    </row>
    <row r="35" spans="1:7" ht="25.5" customHeight="1" x14ac:dyDescent="0.3">
      <c r="A35" s="31" t="s">
        <v>37</v>
      </c>
      <c r="B35" s="31"/>
      <c r="C35" s="31"/>
      <c r="D35" s="31"/>
      <c r="E35" s="31"/>
      <c r="F35" s="31"/>
      <c r="G35" s="31"/>
    </row>
  </sheetData>
  <mergeCells count="5">
    <mergeCell ref="A31:G31"/>
    <mergeCell ref="A32:G32"/>
    <mergeCell ref="A33:G33"/>
    <mergeCell ref="A34:G34"/>
    <mergeCell ref="A35:G3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76"/>
  <sheetViews>
    <sheetView tabSelected="1" topLeftCell="B1" zoomScaleNormal="100" workbookViewId="0">
      <pane ySplit="4" topLeftCell="A15" activePane="bottomLeft" state="frozen"/>
      <selection pane="bottomLeft" activeCell="I26" sqref="I26"/>
    </sheetView>
  </sheetViews>
  <sheetFormatPr defaultColWidth="8.6640625" defaultRowHeight="14.4" x14ac:dyDescent="0.3"/>
  <cols>
    <col min="1" max="1" width="5" customWidth="1"/>
    <col min="2" max="2" width="24" customWidth="1"/>
    <col min="3" max="3" width="7" customWidth="1"/>
    <col min="4" max="4" width="48" customWidth="1"/>
    <col min="5" max="5" width="10" customWidth="1"/>
    <col min="6" max="6" width="34" customWidth="1"/>
    <col min="7" max="7" width="30" customWidth="1"/>
    <col min="8" max="8" width="8" customWidth="1"/>
    <col min="9" max="9" width="10" customWidth="1"/>
    <col min="10" max="10" width="13" customWidth="1"/>
    <col min="11" max="11" width="9" customWidth="1"/>
    <col min="12" max="12" width="41.33203125" customWidth="1"/>
  </cols>
  <sheetData>
    <row r="1" spans="1:12" ht="16.8" x14ac:dyDescent="0.3">
      <c r="A1" s="2" t="s">
        <v>38</v>
      </c>
    </row>
    <row r="2" spans="1:12" ht="42" customHeight="1" x14ac:dyDescent="0.3">
      <c r="A2" s="31" t="s">
        <v>39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4" spans="1:12" ht="30" customHeight="1" x14ac:dyDescent="0.3">
      <c r="A4" s="11" t="s">
        <v>40</v>
      </c>
      <c r="B4" s="11" t="s">
        <v>1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46</v>
      </c>
      <c r="I4" s="11" t="s">
        <v>47</v>
      </c>
      <c r="J4" s="11" t="s">
        <v>48</v>
      </c>
      <c r="K4" s="11" t="s">
        <v>49</v>
      </c>
      <c r="L4" s="11" t="s">
        <v>50</v>
      </c>
    </row>
    <row r="5" spans="1:12" x14ac:dyDescent="0.3">
      <c r="A5" s="32" t="s">
        <v>51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</row>
    <row r="6" spans="1:12" ht="26.4" x14ac:dyDescent="0.3">
      <c r="A6" s="12">
        <v>1</v>
      </c>
      <c r="B6" s="13" t="s">
        <v>52</v>
      </c>
      <c r="C6" s="12">
        <v>217</v>
      </c>
      <c r="D6" s="13" t="s">
        <v>53</v>
      </c>
      <c r="E6" s="14" t="s">
        <v>3</v>
      </c>
      <c r="F6" s="15" t="s">
        <v>54</v>
      </c>
      <c r="G6" s="15" t="s">
        <v>55</v>
      </c>
      <c r="H6" s="16" t="str">
        <f>HYPERLINK("https://leetcode.com/problems/contains-duplicate/","Open")</f>
        <v>Open</v>
      </c>
      <c r="I6" s="17" t="s">
        <v>6</v>
      </c>
      <c r="J6" s="18" t="s">
        <v>56</v>
      </c>
      <c r="K6" s="19">
        <v>1</v>
      </c>
      <c r="L6" s="20" t="s">
        <v>57</v>
      </c>
    </row>
    <row r="7" spans="1:12" x14ac:dyDescent="0.3">
      <c r="A7" s="12">
        <v>2</v>
      </c>
      <c r="B7" s="13" t="s">
        <v>52</v>
      </c>
      <c r="C7" s="12">
        <v>219</v>
      </c>
      <c r="D7" s="13" t="s">
        <v>58</v>
      </c>
      <c r="E7" s="14" t="s">
        <v>3</v>
      </c>
      <c r="F7" s="15" t="s">
        <v>59</v>
      </c>
      <c r="G7" s="15" t="s">
        <v>60</v>
      </c>
      <c r="H7" s="16" t="str">
        <f>HYPERLINK("https://leetcode.com/problems/contains-duplicate-ii/","Open")</f>
        <v>Open</v>
      </c>
      <c r="I7" s="17" t="s">
        <v>818</v>
      </c>
      <c r="J7" s="18"/>
      <c r="K7" s="19"/>
      <c r="L7" s="20"/>
    </row>
    <row r="8" spans="1:12" x14ac:dyDescent="0.3">
      <c r="A8" s="12">
        <v>3</v>
      </c>
      <c r="B8" s="13" t="s">
        <v>52</v>
      </c>
      <c r="C8" s="12">
        <v>169</v>
      </c>
      <c r="D8" s="13" t="s">
        <v>61</v>
      </c>
      <c r="E8" s="14" t="s">
        <v>3</v>
      </c>
      <c r="F8" s="15" t="s">
        <v>62</v>
      </c>
      <c r="G8" s="15" t="s">
        <v>63</v>
      </c>
      <c r="H8" s="16" t="str">
        <f>HYPERLINK("https://leetcode.com/problems/majority-element/","Open")</f>
        <v>Open</v>
      </c>
      <c r="I8" s="17" t="s">
        <v>6</v>
      </c>
      <c r="J8" s="18"/>
      <c r="K8" s="19"/>
      <c r="L8" s="20"/>
    </row>
    <row r="9" spans="1:12" x14ac:dyDescent="0.3">
      <c r="A9" s="12">
        <v>4</v>
      </c>
      <c r="B9" s="13" t="s">
        <v>52</v>
      </c>
      <c r="C9" s="12">
        <v>229</v>
      </c>
      <c r="D9" s="13" t="s">
        <v>64</v>
      </c>
      <c r="E9" s="21" t="s">
        <v>4</v>
      </c>
      <c r="F9" s="15" t="s">
        <v>65</v>
      </c>
      <c r="G9" s="15" t="s">
        <v>66</v>
      </c>
      <c r="H9" s="16" t="str">
        <f>HYPERLINK("https://leetcode.com/problems/majority-element-ii/","Open")</f>
        <v>Open</v>
      </c>
      <c r="I9" s="17" t="s">
        <v>6</v>
      </c>
      <c r="J9" s="18"/>
      <c r="K9" s="19"/>
      <c r="L9" s="20"/>
    </row>
    <row r="10" spans="1:12" x14ac:dyDescent="0.3">
      <c r="A10" s="12">
        <v>5</v>
      </c>
      <c r="B10" s="13" t="s">
        <v>52</v>
      </c>
      <c r="C10" s="12">
        <v>448</v>
      </c>
      <c r="D10" s="13" t="s">
        <v>67</v>
      </c>
      <c r="E10" s="14" t="s">
        <v>3</v>
      </c>
      <c r="F10" s="15" t="s">
        <v>68</v>
      </c>
      <c r="G10" s="15" t="s">
        <v>69</v>
      </c>
      <c r="H10" s="16" t="str">
        <f>HYPERLINK("https://leetcode.com/problems/find-all-numbers-disappeared-in-an-array/","Open")</f>
        <v>Open</v>
      </c>
      <c r="I10" s="17" t="s">
        <v>6</v>
      </c>
      <c r="J10" s="18"/>
      <c r="K10" s="19"/>
      <c r="L10" s="20"/>
    </row>
    <row r="11" spans="1:12" x14ac:dyDescent="0.3">
      <c r="A11" s="12">
        <v>6</v>
      </c>
      <c r="B11" s="13" t="s">
        <v>52</v>
      </c>
      <c r="C11" s="12">
        <v>442</v>
      </c>
      <c r="D11" s="13" t="s">
        <v>70</v>
      </c>
      <c r="E11" s="21" t="s">
        <v>4</v>
      </c>
      <c r="F11" s="15" t="s">
        <v>71</v>
      </c>
      <c r="G11" s="15" t="s">
        <v>72</v>
      </c>
      <c r="H11" s="16" t="str">
        <f>HYPERLINK("https://leetcode.com/problems/find-all-duplicates-in-an-array/","Open")</f>
        <v>Open</v>
      </c>
      <c r="I11" s="17" t="s">
        <v>6</v>
      </c>
      <c r="J11" s="18"/>
      <c r="K11" s="19"/>
      <c r="L11" s="20"/>
    </row>
    <row r="12" spans="1:12" x14ac:dyDescent="0.3">
      <c r="A12" s="12">
        <v>7</v>
      </c>
      <c r="B12" s="13" t="s">
        <v>52</v>
      </c>
      <c r="C12" s="12">
        <v>287</v>
      </c>
      <c r="D12" s="13" t="s">
        <v>73</v>
      </c>
      <c r="E12" s="21" t="s">
        <v>4</v>
      </c>
      <c r="F12" s="15" t="s">
        <v>74</v>
      </c>
      <c r="G12" s="15" t="s">
        <v>75</v>
      </c>
      <c r="H12" s="16" t="str">
        <f>HYPERLINK("https://leetcode.com/problems/find-the-duplicate-number/","Open")</f>
        <v>Open</v>
      </c>
      <c r="I12" s="17" t="s">
        <v>6</v>
      </c>
      <c r="J12" s="18"/>
      <c r="K12" s="19"/>
      <c r="L12" s="20"/>
    </row>
    <row r="13" spans="1:12" x14ac:dyDescent="0.3">
      <c r="A13" s="12">
        <v>8</v>
      </c>
      <c r="B13" s="13" t="s">
        <v>52</v>
      </c>
      <c r="C13" s="12">
        <v>41</v>
      </c>
      <c r="D13" s="13" t="s">
        <v>76</v>
      </c>
      <c r="E13" s="22" t="s">
        <v>5</v>
      </c>
      <c r="F13" s="15" t="s">
        <v>77</v>
      </c>
      <c r="G13" s="15" t="s">
        <v>78</v>
      </c>
      <c r="H13" s="16" t="str">
        <f>HYPERLINK("https://leetcode.com/problems/first-missing-positive/","Open")</f>
        <v>Open</v>
      </c>
      <c r="I13" s="17" t="s">
        <v>6</v>
      </c>
      <c r="J13" s="18"/>
      <c r="K13" s="19"/>
      <c r="L13" s="20"/>
    </row>
    <row r="14" spans="1:12" x14ac:dyDescent="0.3">
      <c r="A14" s="12">
        <v>9</v>
      </c>
      <c r="B14" s="13" t="s">
        <v>52</v>
      </c>
      <c r="C14" s="12">
        <v>238</v>
      </c>
      <c r="D14" s="13" t="s">
        <v>79</v>
      </c>
      <c r="E14" s="21" t="s">
        <v>4</v>
      </c>
      <c r="F14" s="15" t="s">
        <v>80</v>
      </c>
      <c r="G14" s="15" t="s">
        <v>81</v>
      </c>
      <c r="H14" s="16" t="str">
        <f>HYPERLINK("https://leetcode.com/problems/product-of-array-except-self/","Open")</f>
        <v>Open</v>
      </c>
      <c r="I14" s="17"/>
      <c r="J14" s="18"/>
      <c r="K14" s="19"/>
      <c r="L14" s="20"/>
    </row>
    <row r="15" spans="1:12" x14ac:dyDescent="0.3">
      <c r="A15" s="12">
        <v>10</v>
      </c>
      <c r="B15" s="13" t="s">
        <v>52</v>
      </c>
      <c r="C15" s="12">
        <v>128</v>
      </c>
      <c r="D15" s="13" t="s">
        <v>82</v>
      </c>
      <c r="E15" s="21" t="s">
        <v>4</v>
      </c>
      <c r="F15" s="15" t="s">
        <v>83</v>
      </c>
      <c r="G15" s="15" t="s">
        <v>84</v>
      </c>
      <c r="H15" s="16" t="str">
        <f>HYPERLINK("https://leetcode.com/problems/longest-consecutive-sequence/","Open")</f>
        <v>Open</v>
      </c>
      <c r="I15" s="17" t="s">
        <v>6</v>
      </c>
      <c r="J15" s="18"/>
      <c r="K15" s="19"/>
      <c r="L15" s="20"/>
    </row>
    <row r="16" spans="1:12" x14ac:dyDescent="0.3">
      <c r="A16" s="12">
        <v>11</v>
      </c>
      <c r="B16" s="13" t="s">
        <v>52</v>
      </c>
      <c r="C16" s="12">
        <v>560</v>
      </c>
      <c r="D16" s="13" t="s">
        <v>85</v>
      </c>
      <c r="E16" s="21" t="s">
        <v>4</v>
      </c>
      <c r="F16" s="15" t="s">
        <v>86</v>
      </c>
      <c r="G16" s="15" t="s">
        <v>87</v>
      </c>
      <c r="H16" s="16" t="str">
        <f>HYPERLINK("https://leetcode.com/problems/subarray-sum-equals-k/","Open")</f>
        <v>Open</v>
      </c>
      <c r="I16" s="17" t="s">
        <v>6</v>
      </c>
      <c r="J16" s="18"/>
      <c r="K16" s="19"/>
      <c r="L16" s="20"/>
    </row>
    <row r="17" spans="1:12" x14ac:dyDescent="0.3">
      <c r="A17" s="12">
        <v>12</v>
      </c>
      <c r="B17" s="13" t="s">
        <v>52</v>
      </c>
      <c r="C17" s="12">
        <v>189</v>
      </c>
      <c r="D17" s="13" t="s">
        <v>88</v>
      </c>
      <c r="E17" s="21" t="s">
        <v>4</v>
      </c>
      <c r="F17" s="15" t="s">
        <v>89</v>
      </c>
      <c r="G17" s="15" t="s">
        <v>90</v>
      </c>
      <c r="H17" s="16" t="str">
        <f>HYPERLINK("https://leetcode.com/problems/rotate-array/","Open")</f>
        <v>Open</v>
      </c>
      <c r="I17" s="17" t="s">
        <v>6</v>
      </c>
      <c r="J17" s="18"/>
      <c r="K17" s="19"/>
      <c r="L17" s="20"/>
    </row>
    <row r="18" spans="1:12" ht="26.4" x14ac:dyDescent="0.3">
      <c r="A18" s="12">
        <v>13</v>
      </c>
      <c r="B18" s="13" t="s">
        <v>52</v>
      </c>
      <c r="C18" s="12">
        <v>75</v>
      </c>
      <c r="D18" s="13" t="s">
        <v>91</v>
      </c>
      <c r="E18" s="21" t="s">
        <v>4</v>
      </c>
      <c r="F18" s="15" t="s">
        <v>92</v>
      </c>
      <c r="G18" s="15" t="s">
        <v>93</v>
      </c>
      <c r="H18" s="16" t="str">
        <f>HYPERLINK("https://leetcode.com/problems/sort-colors/","Open")</f>
        <v>Open</v>
      </c>
      <c r="I18" s="17"/>
      <c r="J18" s="18"/>
      <c r="K18" s="19"/>
      <c r="L18" s="20" t="s">
        <v>819</v>
      </c>
    </row>
    <row r="19" spans="1:12" x14ac:dyDescent="0.3">
      <c r="A19" s="12">
        <v>14</v>
      </c>
      <c r="B19" s="13" t="s">
        <v>52</v>
      </c>
      <c r="C19" s="12">
        <v>31</v>
      </c>
      <c r="D19" s="13" t="s">
        <v>94</v>
      </c>
      <c r="E19" s="21" t="s">
        <v>4</v>
      </c>
      <c r="F19" s="15" t="s">
        <v>95</v>
      </c>
      <c r="G19" s="15" t="s">
        <v>96</v>
      </c>
      <c r="H19" s="16" t="str">
        <f>HYPERLINK("https://leetcode.com/problems/next-permutation/","Open")</f>
        <v>Open</v>
      </c>
      <c r="I19" s="17"/>
      <c r="J19" s="18"/>
      <c r="K19" s="19"/>
      <c r="L19" s="20"/>
    </row>
    <row r="20" spans="1:12" x14ac:dyDescent="0.3">
      <c r="A20" s="12">
        <v>15</v>
      </c>
      <c r="B20" s="13" t="s">
        <v>52</v>
      </c>
      <c r="C20" s="12">
        <v>73</v>
      </c>
      <c r="D20" s="13" t="s">
        <v>97</v>
      </c>
      <c r="E20" s="21" t="s">
        <v>4</v>
      </c>
      <c r="F20" s="15" t="s">
        <v>98</v>
      </c>
      <c r="G20" s="15" t="s">
        <v>99</v>
      </c>
      <c r="H20" s="16" t="str">
        <f>HYPERLINK("https://leetcode.com/problems/set-matrix-zeroes/","Open")</f>
        <v>Open</v>
      </c>
      <c r="I20" s="17" t="s">
        <v>6</v>
      </c>
      <c r="J20" s="18"/>
      <c r="K20" s="19"/>
      <c r="L20" s="20"/>
    </row>
    <row r="21" spans="1:12" x14ac:dyDescent="0.3">
      <c r="A21" s="12">
        <v>16</v>
      </c>
      <c r="B21" s="13" t="s">
        <v>52</v>
      </c>
      <c r="C21" s="12">
        <v>48</v>
      </c>
      <c r="D21" s="13" t="s">
        <v>100</v>
      </c>
      <c r="E21" s="21" t="s">
        <v>4</v>
      </c>
      <c r="F21" s="15" t="s">
        <v>101</v>
      </c>
      <c r="G21" s="15" t="s">
        <v>102</v>
      </c>
      <c r="H21" s="16" t="str">
        <f>HYPERLINK("https://leetcode.com/problems/rotate-image/","Open")</f>
        <v>Open</v>
      </c>
      <c r="I21" s="17"/>
      <c r="J21" s="18"/>
      <c r="K21" s="19"/>
      <c r="L21" s="20"/>
    </row>
    <row r="22" spans="1:12" x14ac:dyDescent="0.3">
      <c r="A22" s="12">
        <v>17</v>
      </c>
      <c r="B22" s="13" t="s">
        <v>52</v>
      </c>
      <c r="C22" s="12">
        <v>54</v>
      </c>
      <c r="D22" s="13" t="s">
        <v>103</v>
      </c>
      <c r="E22" s="21" t="s">
        <v>4</v>
      </c>
      <c r="F22" s="15" t="s">
        <v>104</v>
      </c>
      <c r="G22" s="15" t="s">
        <v>90</v>
      </c>
      <c r="H22" s="16" t="str">
        <f>HYPERLINK("https://leetcode.com/problems/spiral-matrix/","Open")</f>
        <v>Open</v>
      </c>
      <c r="I22" s="17" t="s">
        <v>6</v>
      </c>
      <c r="J22" s="18"/>
      <c r="K22" s="19"/>
      <c r="L22" s="20"/>
    </row>
    <row r="23" spans="1:12" x14ac:dyDescent="0.3">
      <c r="A23" s="12">
        <v>18</v>
      </c>
      <c r="B23" s="13" t="s">
        <v>52</v>
      </c>
      <c r="C23" s="12">
        <v>36</v>
      </c>
      <c r="D23" s="13" t="s">
        <v>105</v>
      </c>
      <c r="E23" s="21" t="s">
        <v>4</v>
      </c>
      <c r="F23" s="15" t="s">
        <v>106</v>
      </c>
      <c r="G23" s="15" t="s">
        <v>107</v>
      </c>
      <c r="H23" s="16" t="str">
        <f>HYPERLINK("https://leetcode.com/problems/valid-sudoku/","Open")</f>
        <v>Open</v>
      </c>
      <c r="I23" s="17"/>
      <c r="J23" s="18"/>
      <c r="K23" s="19"/>
      <c r="L23" s="20"/>
    </row>
    <row r="24" spans="1:12" x14ac:dyDescent="0.3">
      <c r="A24" s="32" t="s">
        <v>108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</row>
    <row r="25" spans="1:12" x14ac:dyDescent="0.3">
      <c r="A25" s="12">
        <v>19</v>
      </c>
      <c r="B25" s="13" t="s">
        <v>109</v>
      </c>
      <c r="C25" s="12">
        <v>1480</v>
      </c>
      <c r="D25" s="13" t="s">
        <v>110</v>
      </c>
      <c r="E25" s="14" t="s">
        <v>3</v>
      </c>
      <c r="F25" s="15" t="s">
        <v>111</v>
      </c>
      <c r="G25" s="15" t="s">
        <v>112</v>
      </c>
      <c r="H25" s="16" t="str">
        <f>HYPERLINK("https://leetcode.com/problems/running-sum-of-1d-array/","Open")</f>
        <v>Open</v>
      </c>
      <c r="I25" s="17" t="s">
        <v>6</v>
      </c>
      <c r="J25" s="18"/>
      <c r="K25" s="19"/>
      <c r="L25" s="20"/>
    </row>
    <row r="26" spans="1:12" x14ac:dyDescent="0.3">
      <c r="A26" s="12">
        <v>20</v>
      </c>
      <c r="B26" s="13" t="s">
        <v>109</v>
      </c>
      <c r="C26" s="12">
        <v>724</v>
      </c>
      <c r="D26" s="13" t="s">
        <v>113</v>
      </c>
      <c r="E26" s="14" t="s">
        <v>3</v>
      </c>
      <c r="F26" s="15" t="s">
        <v>111</v>
      </c>
      <c r="G26" s="15" t="s">
        <v>69</v>
      </c>
      <c r="H26" s="16" t="str">
        <f>HYPERLINK("https://leetcode.com/problems/find-pivot-index/","Open")</f>
        <v>Open</v>
      </c>
      <c r="I26" s="17"/>
      <c r="J26" s="18"/>
      <c r="K26" s="19"/>
      <c r="L26" s="20"/>
    </row>
    <row r="27" spans="1:12" x14ac:dyDescent="0.3">
      <c r="A27" s="12">
        <v>21</v>
      </c>
      <c r="B27" s="13" t="s">
        <v>109</v>
      </c>
      <c r="C27" s="12">
        <v>303</v>
      </c>
      <c r="D27" s="13" t="s">
        <v>114</v>
      </c>
      <c r="E27" s="14" t="s">
        <v>3</v>
      </c>
      <c r="F27" s="15" t="s">
        <v>115</v>
      </c>
      <c r="G27" s="15" t="s">
        <v>72</v>
      </c>
      <c r="H27" s="16" t="str">
        <f>HYPERLINK("https://leetcode.com/problems/range-sum-query-immutable/","Open")</f>
        <v>Open</v>
      </c>
      <c r="I27" s="17"/>
      <c r="J27" s="18"/>
      <c r="K27" s="19"/>
      <c r="L27" s="20"/>
    </row>
    <row r="28" spans="1:12" x14ac:dyDescent="0.3">
      <c r="A28" s="12">
        <v>22</v>
      </c>
      <c r="B28" s="13" t="s">
        <v>109</v>
      </c>
      <c r="C28" s="12">
        <v>304</v>
      </c>
      <c r="D28" s="13" t="s">
        <v>116</v>
      </c>
      <c r="E28" s="21" t="s">
        <v>4</v>
      </c>
      <c r="F28" s="15" t="s">
        <v>117</v>
      </c>
      <c r="G28" s="15" t="s">
        <v>118</v>
      </c>
      <c r="H28" s="16" t="str">
        <f>HYPERLINK("https://leetcode.com/problems/range-sum-query-2d-immutable/","Open")</f>
        <v>Open</v>
      </c>
      <c r="I28" s="17"/>
      <c r="J28" s="18"/>
      <c r="K28" s="19"/>
      <c r="L28" s="20"/>
    </row>
    <row r="29" spans="1:12" x14ac:dyDescent="0.3">
      <c r="A29" s="12">
        <v>23</v>
      </c>
      <c r="B29" s="13" t="s">
        <v>109</v>
      </c>
      <c r="C29" s="12">
        <v>523</v>
      </c>
      <c r="D29" s="13" t="s">
        <v>119</v>
      </c>
      <c r="E29" s="21" t="s">
        <v>4</v>
      </c>
      <c r="F29" s="15" t="s">
        <v>120</v>
      </c>
      <c r="G29" s="15" t="s">
        <v>121</v>
      </c>
      <c r="H29" s="16" t="str">
        <f>HYPERLINK("https://leetcode.com/problems/continuous-subarray-sum/","Open")</f>
        <v>Open</v>
      </c>
      <c r="I29" s="17"/>
      <c r="J29" s="18"/>
      <c r="K29" s="19"/>
      <c r="L29" s="20"/>
    </row>
    <row r="30" spans="1:12" x14ac:dyDescent="0.3">
      <c r="A30" s="12">
        <v>24</v>
      </c>
      <c r="B30" s="13" t="s">
        <v>109</v>
      </c>
      <c r="C30" s="12">
        <v>974</v>
      </c>
      <c r="D30" s="13" t="s">
        <v>122</v>
      </c>
      <c r="E30" s="21" t="s">
        <v>4</v>
      </c>
      <c r="F30" s="15" t="s">
        <v>123</v>
      </c>
      <c r="G30" s="15" t="s">
        <v>72</v>
      </c>
      <c r="H30" s="16" t="str">
        <f>HYPERLINK("https://leetcode.com/problems/subarray-sums-divisible-by-k/","Open")</f>
        <v>Open</v>
      </c>
      <c r="I30" s="17"/>
      <c r="J30" s="18"/>
      <c r="K30" s="19"/>
      <c r="L30" s="20"/>
    </row>
    <row r="31" spans="1:12" x14ac:dyDescent="0.3">
      <c r="A31" s="12">
        <v>25</v>
      </c>
      <c r="B31" s="13" t="s">
        <v>109</v>
      </c>
      <c r="C31" s="12">
        <v>525</v>
      </c>
      <c r="D31" s="13" t="s">
        <v>124</v>
      </c>
      <c r="E31" s="21" t="s">
        <v>4</v>
      </c>
      <c r="F31" s="15" t="s">
        <v>125</v>
      </c>
      <c r="G31" s="15" t="s">
        <v>121</v>
      </c>
      <c r="H31" s="16" t="str">
        <f>HYPERLINK("https://leetcode.com/problems/contiguous-array/","Open")</f>
        <v>Open</v>
      </c>
      <c r="I31" s="17"/>
      <c r="J31" s="18"/>
      <c r="K31" s="19"/>
      <c r="L31" s="20"/>
    </row>
    <row r="32" spans="1:12" x14ac:dyDescent="0.3">
      <c r="A32" s="12">
        <v>26</v>
      </c>
      <c r="B32" s="13" t="s">
        <v>109</v>
      </c>
      <c r="C32" s="12">
        <v>1109</v>
      </c>
      <c r="D32" s="13" t="s">
        <v>126</v>
      </c>
      <c r="E32" s="21" t="s">
        <v>4</v>
      </c>
      <c r="F32" s="15" t="s">
        <v>127</v>
      </c>
      <c r="G32" s="15" t="s">
        <v>128</v>
      </c>
      <c r="H32" s="16" t="str">
        <f>HYPERLINK("https://leetcode.com/problems/corporate-flight-bookings/","Open")</f>
        <v>Open</v>
      </c>
      <c r="I32" s="17"/>
      <c r="J32" s="18"/>
      <c r="K32" s="19"/>
      <c r="L32" s="20"/>
    </row>
    <row r="33" spans="1:12" x14ac:dyDescent="0.3">
      <c r="A33" s="12">
        <v>27</v>
      </c>
      <c r="B33" s="13" t="s">
        <v>109</v>
      </c>
      <c r="C33" s="12">
        <v>59</v>
      </c>
      <c r="D33" s="13" t="s">
        <v>129</v>
      </c>
      <c r="E33" s="21" t="s">
        <v>4</v>
      </c>
      <c r="F33" s="15" t="s">
        <v>130</v>
      </c>
      <c r="G33" s="15" t="s">
        <v>131</v>
      </c>
      <c r="H33" s="16" t="str">
        <f>HYPERLINK("https://leetcode.com/problems/spiral-matrix-ii/","Open")</f>
        <v>Open</v>
      </c>
      <c r="I33" s="17"/>
      <c r="J33" s="18"/>
      <c r="K33" s="19"/>
      <c r="L33" s="20"/>
    </row>
    <row r="34" spans="1:12" x14ac:dyDescent="0.3">
      <c r="A34" s="12">
        <v>28</v>
      </c>
      <c r="B34" s="13" t="s">
        <v>109</v>
      </c>
      <c r="C34" s="12">
        <v>240</v>
      </c>
      <c r="D34" s="13" t="s">
        <v>132</v>
      </c>
      <c r="E34" s="21" t="s">
        <v>4</v>
      </c>
      <c r="F34" s="15" t="s">
        <v>133</v>
      </c>
      <c r="G34" s="15" t="s">
        <v>55</v>
      </c>
      <c r="H34" s="16" t="str">
        <f>HYPERLINK("https://leetcode.com/problems/search-a-2d-matrix-ii/","Open")</f>
        <v>Open</v>
      </c>
      <c r="I34" s="17"/>
      <c r="J34" s="18"/>
      <c r="K34" s="19"/>
      <c r="L34" s="20"/>
    </row>
    <row r="35" spans="1:12" x14ac:dyDescent="0.3">
      <c r="A35" s="32" t="s">
        <v>134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</row>
    <row r="36" spans="1:12" x14ac:dyDescent="0.3">
      <c r="A36" s="12">
        <v>29</v>
      </c>
      <c r="B36" s="13" t="s">
        <v>135</v>
      </c>
      <c r="C36" s="12">
        <v>977</v>
      </c>
      <c r="D36" s="13" t="s">
        <v>136</v>
      </c>
      <c r="E36" s="14" t="s">
        <v>3</v>
      </c>
      <c r="F36" s="15" t="s">
        <v>137</v>
      </c>
      <c r="G36" s="15" t="s">
        <v>138</v>
      </c>
      <c r="H36" s="16" t="str">
        <f>HYPERLINK("https://leetcode.com/problems/squares-of-a-sorted-array/","Open")</f>
        <v>Open</v>
      </c>
      <c r="I36" s="17"/>
      <c r="J36" s="18"/>
      <c r="K36" s="19"/>
      <c r="L36" s="20"/>
    </row>
    <row r="37" spans="1:12" x14ac:dyDescent="0.3">
      <c r="A37" s="12">
        <v>30</v>
      </c>
      <c r="B37" s="13" t="s">
        <v>135</v>
      </c>
      <c r="C37" s="12">
        <v>680</v>
      </c>
      <c r="D37" s="13" t="s">
        <v>139</v>
      </c>
      <c r="E37" s="14" t="s">
        <v>3</v>
      </c>
      <c r="F37" s="15" t="s">
        <v>140</v>
      </c>
      <c r="G37" s="15" t="s">
        <v>141</v>
      </c>
      <c r="H37" s="16" t="str">
        <f>HYPERLINK("https://leetcode.com/problems/valid-palindrome-ii/","Open")</f>
        <v>Open</v>
      </c>
      <c r="I37" s="17"/>
      <c r="J37" s="18"/>
      <c r="K37" s="19"/>
      <c r="L37" s="20"/>
    </row>
    <row r="38" spans="1:12" x14ac:dyDescent="0.3">
      <c r="A38" s="12">
        <v>31</v>
      </c>
      <c r="B38" s="13" t="s">
        <v>135</v>
      </c>
      <c r="C38" s="12">
        <v>80</v>
      </c>
      <c r="D38" s="13" t="s">
        <v>142</v>
      </c>
      <c r="E38" s="21" t="s">
        <v>4</v>
      </c>
      <c r="F38" s="15" t="s">
        <v>143</v>
      </c>
      <c r="G38" s="15" t="s">
        <v>131</v>
      </c>
      <c r="H38" s="16" t="str">
        <f>HYPERLINK("https://leetcode.com/problems/remove-duplicates-from-sorted-array-ii/","Open")</f>
        <v>Open</v>
      </c>
      <c r="I38" s="17"/>
      <c r="J38" s="18"/>
      <c r="K38" s="19"/>
      <c r="L38" s="20"/>
    </row>
    <row r="39" spans="1:12" x14ac:dyDescent="0.3">
      <c r="A39" s="12">
        <v>32</v>
      </c>
      <c r="B39" s="13" t="s">
        <v>135</v>
      </c>
      <c r="C39" s="12">
        <v>18</v>
      </c>
      <c r="D39" s="13" t="s">
        <v>144</v>
      </c>
      <c r="E39" s="21" t="s">
        <v>4</v>
      </c>
      <c r="F39" s="15" t="s">
        <v>145</v>
      </c>
      <c r="G39" s="15" t="s">
        <v>146</v>
      </c>
      <c r="H39" s="16" t="str">
        <f>HYPERLINK("https://leetcode.com/problems/4sum/","Open")</f>
        <v>Open</v>
      </c>
      <c r="I39" s="17"/>
      <c r="J39" s="18"/>
      <c r="K39" s="19"/>
      <c r="L39" s="20"/>
    </row>
    <row r="40" spans="1:12" x14ac:dyDescent="0.3">
      <c r="A40" s="12">
        <v>33</v>
      </c>
      <c r="B40" s="13" t="s">
        <v>135</v>
      </c>
      <c r="C40" s="12">
        <v>16</v>
      </c>
      <c r="D40" s="13" t="s">
        <v>147</v>
      </c>
      <c r="E40" s="21" t="s">
        <v>4</v>
      </c>
      <c r="F40" s="15" t="s">
        <v>148</v>
      </c>
      <c r="G40" s="15" t="s">
        <v>69</v>
      </c>
      <c r="H40" s="16" t="str">
        <f>HYPERLINK("https://leetcode.com/problems/3sum-closest/","Open")</f>
        <v>Open</v>
      </c>
      <c r="I40" s="17"/>
      <c r="J40" s="18"/>
      <c r="K40" s="19"/>
      <c r="L40" s="20"/>
    </row>
    <row r="41" spans="1:12" x14ac:dyDescent="0.3">
      <c r="A41" s="12">
        <v>34</v>
      </c>
      <c r="B41" s="13" t="s">
        <v>135</v>
      </c>
      <c r="C41" s="12">
        <v>1679</v>
      </c>
      <c r="D41" s="13" t="s">
        <v>149</v>
      </c>
      <c r="E41" s="21" t="s">
        <v>4</v>
      </c>
      <c r="F41" s="15" t="s">
        <v>150</v>
      </c>
      <c r="G41" s="15" t="s">
        <v>151</v>
      </c>
      <c r="H41" s="16" t="str">
        <f>HYPERLINK("https://leetcode.com/problems/max-number-of-k-sum-pairs/","Open")</f>
        <v>Open</v>
      </c>
      <c r="I41" s="17"/>
      <c r="J41" s="18"/>
      <c r="K41" s="19"/>
      <c r="L41" s="20"/>
    </row>
    <row r="42" spans="1:12" x14ac:dyDescent="0.3">
      <c r="A42" s="12">
        <v>35</v>
      </c>
      <c r="B42" s="13" t="s">
        <v>135</v>
      </c>
      <c r="C42" s="12">
        <v>844</v>
      </c>
      <c r="D42" s="13" t="s">
        <v>152</v>
      </c>
      <c r="E42" s="14" t="s">
        <v>3</v>
      </c>
      <c r="F42" s="15" t="s">
        <v>153</v>
      </c>
      <c r="G42" s="15" t="s">
        <v>66</v>
      </c>
      <c r="H42" s="16" t="str">
        <f>HYPERLINK("https://leetcode.com/problems/backspace-string-compare/","Open")</f>
        <v>Open</v>
      </c>
      <c r="I42" s="17"/>
      <c r="J42" s="18"/>
      <c r="K42" s="19"/>
      <c r="L42" s="20"/>
    </row>
    <row r="43" spans="1:12" x14ac:dyDescent="0.3">
      <c r="A43" s="12">
        <v>36</v>
      </c>
      <c r="B43" s="13" t="s">
        <v>135</v>
      </c>
      <c r="C43" s="12">
        <v>881</v>
      </c>
      <c r="D43" s="13" t="s">
        <v>154</v>
      </c>
      <c r="E43" s="21" t="s">
        <v>4</v>
      </c>
      <c r="F43" s="15" t="s">
        <v>155</v>
      </c>
      <c r="G43" s="15" t="s">
        <v>60</v>
      </c>
      <c r="H43" s="16" t="str">
        <f>HYPERLINK("https://leetcode.com/problems/boats-to-save-people/","Open")</f>
        <v>Open</v>
      </c>
      <c r="I43" s="17"/>
      <c r="J43" s="18"/>
      <c r="K43" s="19"/>
      <c r="L43" s="20"/>
    </row>
    <row r="44" spans="1:12" x14ac:dyDescent="0.3">
      <c r="A44" s="12">
        <v>37</v>
      </c>
      <c r="B44" s="13" t="s">
        <v>135</v>
      </c>
      <c r="C44" s="12">
        <v>986</v>
      </c>
      <c r="D44" s="13" t="s">
        <v>156</v>
      </c>
      <c r="E44" s="21" t="s">
        <v>4</v>
      </c>
      <c r="F44" s="15" t="s">
        <v>157</v>
      </c>
      <c r="G44" s="15" t="s">
        <v>158</v>
      </c>
      <c r="H44" s="16" t="str">
        <f>HYPERLINK("https://leetcode.com/problems/interval-list-intersections/","Open")</f>
        <v>Open</v>
      </c>
      <c r="I44" s="17"/>
      <c r="J44" s="18"/>
      <c r="K44" s="19"/>
      <c r="L44" s="20"/>
    </row>
    <row r="45" spans="1:12" x14ac:dyDescent="0.3">
      <c r="A45" s="12">
        <v>38</v>
      </c>
      <c r="B45" s="13" t="s">
        <v>135</v>
      </c>
      <c r="C45" s="12">
        <v>948</v>
      </c>
      <c r="D45" s="13" t="s">
        <v>159</v>
      </c>
      <c r="E45" s="21" t="s">
        <v>4</v>
      </c>
      <c r="F45" s="15" t="s">
        <v>155</v>
      </c>
      <c r="G45" s="15" t="s">
        <v>60</v>
      </c>
      <c r="H45" s="16" t="str">
        <f>HYPERLINK("https://leetcode.com/problems/bag-of-tokens/","Open")</f>
        <v>Open</v>
      </c>
      <c r="I45" s="17"/>
      <c r="J45" s="18"/>
      <c r="K45" s="19"/>
      <c r="L45" s="20"/>
    </row>
    <row r="46" spans="1:12" x14ac:dyDescent="0.3">
      <c r="A46" s="32" t="s">
        <v>160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</row>
    <row r="47" spans="1:12" x14ac:dyDescent="0.3">
      <c r="A47" s="12">
        <v>39</v>
      </c>
      <c r="B47" s="13" t="s">
        <v>161</v>
      </c>
      <c r="C47" s="12">
        <v>643</v>
      </c>
      <c r="D47" s="13" t="s">
        <v>162</v>
      </c>
      <c r="E47" s="14" t="s">
        <v>3</v>
      </c>
      <c r="F47" s="15" t="s">
        <v>163</v>
      </c>
      <c r="G47" s="15" t="s">
        <v>60</v>
      </c>
      <c r="H47" s="16" t="str">
        <f>HYPERLINK("https://leetcode.com/problems/maximum-average-subarray-i/","Open")</f>
        <v>Open</v>
      </c>
      <c r="I47" s="17"/>
      <c r="J47" s="18"/>
      <c r="K47" s="19"/>
      <c r="L47" s="20"/>
    </row>
    <row r="48" spans="1:12" x14ac:dyDescent="0.3">
      <c r="A48" s="12">
        <v>40</v>
      </c>
      <c r="B48" s="13" t="s">
        <v>161</v>
      </c>
      <c r="C48" s="12">
        <v>209</v>
      </c>
      <c r="D48" s="13" t="s">
        <v>164</v>
      </c>
      <c r="E48" s="21" t="s">
        <v>4</v>
      </c>
      <c r="F48" s="15" t="s">
        <v>165</v>
      </c>
      <c r="G48" s="15" t="s">
        <v>141</v>
      </c>
      <c r="H48" s="16" t="str">
        <f>HYPERLINK("https://leetcode.com/problems/minimum-size-subarray-sum/","Open")</f>
        <v>Open</v>
      </c>
      <c r="I48" s="17"/>
      <c r="J48" s="18"/>
      <c r="K48" s="19"/>
      <c r="L48" s="20"/>
    </row>
    <row r="49" spans="1:12" x14ac:dyDescent="0.3">
      <c r="A49" s="12">
        <v>41</v>
      </c>
      <c r="B49" s="13" t="s">
        <v>161</v>
      </c>
      <c r="C49" s="12">
        <v>1004</v>
      </c>
      <c r="D49" s="13" t="s">
        <v>166</v>
      </c>
      <c r="E49" s="21" t="s">
        <v>4</v>
      </c>
      <c r="F49" s="15" t="s">
        <v>167</v>
      </c>
      <c r="G49" s="15" t="s">
        <v>141</v>
      </c>
      <c r="H49" s="16" t="str">
        <f>HYPERLINK("https://leetcode.com/problems/max-consecutive-ones-iii/","Open")</f>
        <v>Open</v>
      </c>
      <c r="I49" s="17"/>
      <c r="J49" s="18"/>
      <c r="K49" s="19"/>
      <c r="L49" s="20"/>
    </row>
    <row r="50" spans="1:12" x14ac:dyDescent="0.3">
      <c r="A50" s="12">
        <v>42</v>
      </c>
      <c r="B50" s="13" t="s">
        <v>161</v>
      </c>
      <c r="C50" s="12">
        <v>1456</v>
      </c>
      <c r="D50" s="13" t="s">
        <v>168</v>
      </c>
      <c r="E50" s="21" t="s">
        <v>4</v>
      </c>
      <c r="F50" s="15" t="s">
        <v>169</v>
      </c>
      <c r="G50" s="15" t="s">
        <v>151</v>
      </c>
      <c r="H50" s="16" t="str">
        <f>HYPERLINK("https://leetcode.com/problems/maximum-number-of-vowels-in-a-substring-of-given-length/","Open")</f>
        <v>Open</v>
      </c>
      <c r="I50" s="17"/>
      <c r="J50" s="18"/>
      <c r="K50" s="19"/>
      <c r="L50" s="20"/>
    </row>
    <row r="51" spans="1:12" x14ac:dyDescent="0.3">
      <c r="A51" s="12">
        <v>43</v>
      </c>
      <c r="B51" s="13" t="s">
        <v>161</v>
      </c>
      <c r="C51" s="12">
        <v>438</v>
      </c>
      <c r="D51" s="13" t="s">
        <v>170</v>
      </c>
      <c r="E51" s="21" t="s">
        <v>4</v>
      </c>
      <c r="F51" s="15" t="s">
        <v>171</v>
      </c>
      <c r="G51" s="15" t="s">
        <v>172</v>
      </c>
      <c r="H51" s="16" t="str">
        <f>HYPERLINK("https://leetcode.com/problems/find-all-anagrams-in-a-string/","Open")</f>
        <v>Open</v>
      </c>
      <c r="I51" s="17"/>
      <c r="J51" s="18"/>
      <c r="K51" s="19"/>
      <c r="L51" s="20"/>
    </row>
    <row r="52" spans="1:12" x14ac:dyDescent="0.3">
      <c r="A52" s="12">
        <v>44</v>
      </c>
      <c r="B52" s="13" t="s">
        <v>161</v>
      </c>
      <c r="C52" s="12">
        <v>904</v>
      </c>
      <c r="D52" s="13" t="s">
        <v>173</v>
      </c>
      <c r="E52" s="21" t="s">
        <v>4</v>
      </c>
      <c r="F52" s="15" t="s">
        <v>174</v>
      </c>
      <c r="G52" s="15" t="s">
        <v>66</v>
      </c>
      <c r="H52" s="16" t="str">
        <f>HYPERLINK("https://leetcode.com/problems/fruit-into-baskets/","Open")</f>
        <v>Open</v>
      </c>
      <c r="I52" s="17"/>
      <c r="J52" s="18"/>
      <c r="K52" s="19"/>
      <c r="L52" s="20"/>
    </row>
    <row r="53" spans="1:12" x14ac:dyDescent="0.3">
      <c r="A53" s="12">
        <v>45</v>
      </c>
      <c r="B53" s="13" t="s">
        <v>161</v>
      </c>
      <c r="C53" s="12">
        <v>1493</v>
      </c>
      <c r="D53" s="13" t="s">
        <v>175</v>
      </c>
      <c r="E53" s="21" t="s">
        <v>4</v>
      </c>
      <c r="F53" s="15" t="s">
        <v>176</v>
      </c>
      <c r="G53" s="15" t="s">
        <v>60</v>
      </c>
      <c r="H53" s="16" t="str">
        <f>HYPERLINK("https://leetcode.com/problems/longest-subarray-of-1s-after-deleting-one-element/","Open")</f>
        <v>Open</v>
      </c>
      <c r="I53" s="17"/>
      <c r="J53" s="18"/>
      <c r="K53" s="19"/>
      <c r="L53" s="20"/>
    </row>
    <row r="54" spans="1:12" x14ac:dyDescent="0.3">
      <c r="A54" s="12">
        <v>46</v>
      </c>
      <c r="B54" s="13" t="s">
        <v>161</v>
      </c>
      <c r="C54" s="12">
        <v>930</v>
      </c>
      <c r="D54" s="13" t="s">
        <v>177</v>
      </c>
      <c r="E54" s="21" t="s">
        <v>4</v>
      </c>
      <c r="F54" s="15" t="s">
        <v>178</v>
      </c>
      <c r="G54" s="15" t="s">
        <v>66</v>
      </c>
      <c r="H54" s="16" t="str">
        <f>HYPERLINK("https://leetcode.com/problems/binary-subarrays-with-sum/","Open")</f>
        <v>Open</v>
      </c>
      <c r="I54" s="17"/>
      <c r="J54" s="18"/>
      <c r="K54" s="19"/>
      <c r="L54" s="20"/>
    </row>
    <row r="55" spans="1:12" x14ac:dyDescent="0.3">
      <c r="A55" s="12">
        <v>47</v>
      </c>
      <c r="B55" s="13" t="s">
        <v>161</v>
      </c>
      <c r="C55" s="12">
        <v>1248</v>
      </c>
      <c r="D55" s="13" t="s">
        <v>179</v>
      </c>
      <c r="E55" s="21" t="s">
        <v>4</v>
      </c>
      <c r="F55" s="15" t="s">
        <v>180</v>
      </c>
      <c r="G55" s="15" t="s">
        <v>128</v>
      </c>
      <c r="H55" s="16" t="str">
        <f>HYPERLINK("https://leetcode.com/problems/count-number-of-nice-subarrays/","Open")</f>
        <v>Open</v>
      </c>
      <c r="I55" s="17"/>
      <c r="J55" s="18"/>
      <c r="K55" s="19"/>
      <c r="L55" s="20"/>
    </row>
    <row r="56" spans="1:12" x14ac:dyDescent="0.3">
      <c r="A56" s="12">
        <v>48</v>
      </c>
      <c r="B56" s="13" t="s">
        <v>161</v>
      </c>
      <c r="C56" s="12">
        <v>1658</v>
      </c>
      <c r="D56" s="13" t="s">
        <v>181</v>
      </c>
      <c r="E56" s="21" t="s">
        <v>4</v>
      </c>
      <c r="F56" s="15" t="s">
        <v>182</v>
      </c>
      <c r="G56" s="15" t="s">
        <v>60</v>
      </c>
      <c r="H56" s="16" t="str">
        <f>HYPERLINK("https://leetcode.com/problems/minimum-operations-to-reduce-x-to-zero/","Open")</f>
        <v>Open</v>
      </c>
      <c r="I56" s="17"/>
      <c r="J56" s="18"/>
      <c r="K56" s="19"/>
      <c r="L56" s="20"/>
    </row>
    <row r="57" spans="1:12" x14ac:dyDescent="0.3">
      <c r="A57" s="12">
        <v>49</v>
      </c>
      <c r="B57" s="13" t="s">
        <v>161</v>
      </c>
      <c r="C57" s="12">
        <v>76</v>
      </c>
      <c r="D57" s="13" t="s">
        <v>183</v>
      </c>
      <c r="E57" s="22" t="s">
        <v>5</v>
      </c>
      <c r="F57" s="15" t="s">
        <v>184</v>
      </c>
      <c r="G57" s="15" t="s">
        <v>185</v>
      </c>
      <c r="H57" s="16" t="str">
        <f>HYPERLINK("https://leetcode.com/problems/minimum-window-substring/","Open")</f>
        <v>Open</v>
      </c>
      <c r="I57" s="17"/>
      <c r="J57" s="18"/>
      <c r="K57" s="19"/>
      <c r="L57" s="20"/>
    </row>
    <row r="58" spans="1:12" x14ac:dyDescent="0.3">
      <c r="A58" s="12">
        <v>50</v>
      </c>
      <c r="B58" s="13" t="s">
        <v>161</v>
      </c>
      <c r="C58" s="12">
        <v>992</v>
      </c>
      <c r="D58" s="13" t="s">
        <v>186</v>
      </c>
      <c r="E58" s="22" t="s">
        <v>5</v>
      </c>
      <c r="F58" s="15" t="s">
        <v>178</v>
      </c>
      <c r="G58" s="15" t="s">
        <v>60</v>
      </c>
      <c r="H58" s="16" t="str">
        <f>HYPERLINK("https://leetcode.com/problems/subarrays-with-k-different-integers/","Open")</f>
        <v>Open</v>
      </c>
      <c r="I58" s="17"/>
      <c r="J58" s="18"/>
      <c r="K58" s="19"/>
      <c r="L58" s="20"/>
    </row>
    <row r="59" spans="1:12" x14ac:dyDescent="0.3">
      <c r="A59" s="32" t="s">
        <v>187</v>
      </c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</row>
    <row r="60" spans="1:12" x14ac:dyDescent="0.3">
      <c r="A60" s="12">
        <v>51</v>
      </c>
      <c r="B60" s="13" t="s">
        <v>188</v>
      </c>
      <c r="C60" s="12">
        <v>71</v>
      </c>
      <c r="D60" s="13" t="s">
        <v>189</v>
      </c>
      <c r="E60" s="21" t="s">
        <v>4</v>
      </c>
      <c r="F60" s="15" t="s">
        <v>190</v>
      </c>
      <c r="G60" s="15" t="s">
        <v>191</v>
      </c>
      <c r="H60" s="16" t="str">
        <f>HYPERLINK("https://leetcode.com/problems/simplify-path/","Open")</f>
        <v>Open</v>
      </c>
      <c r="I60" s="17"/>
      <c r="J60" s="18"/>
      <c r="K60" s="19"/>
      <c r="L60" s="20"/>
    </row>
    <row r="61" spans="1:12" x14ac:dyDescent="0.3">
      <c r="A61" s="12">
        <v>52</v>
      </c>
      <c r="B61" s="13" t="s">
        <v>188</v>
      </c>
      <c r="C61" s="12">
        <v>735</v>
      </c>
      <c r="D61" s="13" t="s">
        <v>192</v>
      </c>
      <c r="E61" s="21" t="s">
        <v>4</v>
      </c>
      <c r="F61" s="15" t="s">
        <v>193</v>
      </c>
      <c r="G61" s="15" t="s">
        <v>194</v>
      </c>
      <c r="H61" s="16" t="str">
        <f>HYPERLINK("https://leetcode.com/problems/asteroid-collision/","Open")</f>
        <v>Open</v>
      </c>
      <c r="I61" s="17"/>
      <c r="J61" s="18"/>
      <c r="K61" s="19"/>
      <c r="L61" s="20"/>
    </row>
    <row r="62" spans="1:12" x14ac:dyDescent="0.3">
      <c r="A62" s="12">
        <v>53</v>
      </c>
      <c r="B62" s="13" t="s">
        <v>188</v>
      </c>
      <c r="C62" s="12">
        <v>1249</v>
      </c>
      <c r="D62" s="13" t="s">
        <v>195</v>
      </c>
      <c r="E62" s="21" t="s">
        <v>4</v>
      </c>
      <c r="F62" s="15" t="s">
        <v>196</v>
      </c>
      <c r="G62" s="15" t="s">
        <v>141</v>
      </c>
      <c r="H62" s="16" t="str">
        <f>HYPERLINK("https://leetcode.com/problems/minimum-remove-to-make-valid-parentheses/","Open")</f>
        <v>Open</v>
      </c>
      <c r="I62" s="17"/>
      <c r="J62" s="18"/>
      <c r="K62" s="19"/>
      <c r="L62" s="20"/>
    </row>
    <row r="63" spans="1:12" x14ac:dyDescent="0.3">
      <c r="A63" s="12">
        <v>54</v>
      </c>
      <c r="B63" s="13" t="s">
        <v>188</v>
      </c>
      <c r="C63" s="12">
        <v>402</v>
      </c>
      <c r="D63" s="13" t="s">
        <v>197</v>
      </c>
      <c r="E63" s="21" t="s">
        <v>4</v>
      </c>
      <c r="F63" s="15" t="s">
        <v>198</v>
      </c>
      <c r="G63" s="15" t="s">
        <v>75</v>
      </c>
      <c r="H63" s="16" t="str">
        <f>HYPERLINK("https://leetcode.com/problems/remove-k-digits/","Open")</f>
        <v>Open</v>
      </c>
      <c r="I63" s="17"/>
      <c r="J63" s="18"/>
      <c r="K63" s="19"/>
      <c r="L63" s="20"/>
    </row>
    <row r="64" spans="1:12" x14ac:dyDescent="0.3">
      <c r="A64" s="12">
        <v>55</v>
      </c>
      <c r="B64" s="13" t="s">
        <v>188</v>
      </c>
      <c r="C64" s="12">
        <v>853</v>
      </c>
      <c r="D64" s="13" t="s">
        <v>199</v>
      </c>
      <c r="E64" s="21" t="s">
        <v>4</v>
      </c>
      <c r="F64" s="15" t="s">
        <v>200</v>
      </c>
      <c r="G64" s="15" t="s">
        <v>66</v>
      </c>
      <c r="H64" s="16" t="str">
        <f>HYPERLINK("https://leetcode.com/problems/car-fleet/","Open")</f>
        <v>Open</v>
      </c>
      <c r="I64" s="17"/>
      <c r="J64" s="18"/>
      <c r="K64" s="19"/>
      <c r="L64" s="20"/>
    </row>
    <row r="65" spans="1:12" x14ac:dyDescent="0.3">
      <c r="A65" s="12">
        <v>56</v>
      </c>
      <c r="B65" s="13" t="s">
        <v>188</v>
      </c>
      <c r="C65" s="12">
        <v>901</v>
      </c>
      <c r="D65" s="13" t="s">
        <v>201</v>
      </c>
      <c r="E65" s="21" t="s">
        <v>4</v>
      </c>
      <c r="F65" s="15" t="s">
        <v>202</v>
      </c>
      <c r="G65" s="15" t="s">
        <v>72</v>
      </c>
      <c r="H65" s="16" t="str">
        <f>HYPERLINK("https://leetcode.com/problems/online-stock-span/","Open")</f>
        <v>Open</v>
      </c>
      <c r="I65" s="17"/>
      <c r="J65" s="18"/>
      <c r="K65" s="19"/>
      <c r="L65" s="20"/>
    </row>
    <row r="66" spans="1:12" x14ac:dyDescent="0.3">
      <c r="A66" s="12">
        <v>57</v>
      </c>
      <c r="B66" s="13" t="s">
        <v>188</v>
      </c>
      <c r="C66" s="12">
        <v>907</v>
      </c>
      <c r="D66" s="13" t="s">
        <v>203</v>
      </c>
      <c r="E66" s="21" t="s">
        <v>4</v>
      </c>
      <c r="F66" s="15" t="s">
        <v>204</v>
      </c>
      <c r="G66" s="15" t="s">
        <v>60</v>
      </c>
      <c r="H66" s="16" t="str">
        <f>HYPERLINK("https://leetcode.com/problems/sum-of-subarray-minimums/","Open")</f>
        <v>Open</v>
      </c>
      <c r="I66" s="17"/>
      <c r="J66" s="18"/>
      <c r="K66" s="19"/>
      <c r="L66" s="20"/>
    </row>
    <row r="67" spans="1:12" x14ac:dyDescent="0.3">
      <c r="A67" s="12">
        <v>58</v>
      </c>
      <c r="B67" s="13" t="s">
        <v>188</v>
      </c>
      <c r="C67" s="12">
        <v>227</v>
      </c>
      <c r="D67" s="13" t="s">
        <v>205</v>
      </c>
      <c r="E67" s="21" t="s">
        <v>4</v>
      </c>
      <c r="F67" s="15" t="s">
        <v>206</v>
      </c>
      <c r="G67" s="15" t="s">
        <v>141</v>
      </c>
      <c r="H67" s="16" t="str">
        <f>HYPERLINK("https://leetcode.com/problems/basic-calculator-ii/","Open")</f>
        <v>Open</v>
      </c>
      <c r="I67" s="17"/>
      <c r="J67" s="18"/>
      <c r="K67" s="19"/>
      <c r="L67" s="20"/>
    </row>
    <row r="68" spans="1:12" x14ac:dyDescent="0.3">
      <c r="A68" s="12">
        <v>59</v>
      </c>
      <c r="B68" s="13" t="s">
        <v>188</v>
      </c>
      <c r="C68" s="12">
        <v>224</v>
      </c>
      <c r="D68" s="13" t="s">
        <v>207</v>
      </c>
      <c r="E68" s="22" t="s">
        <v>5</v>
      </c>
      <c r="F68" s="15" t="s">
        <v>208</v>
      </c>
      <c r="G68" s="15" t="s">
        <v>209</v>
      </c>
      <c r="H68" s="16" t="str">
        <f>HYPERLINK("https://leetcode.com/problems/basic-calculator/","Open")</f>
        <v>Open</v>
      </c>
      <c r="I68" s="17"/>
      <c r="J68" s="18"/>
      <c r="K68" s="19"/>
      <c r="L68" s="20"/>
    </row>
    <row r="69" spans="1:12" x14ac:dyDescent="0.3">
      <c r="A69" s="12">
        <v>60</v>
      </c>
      <c r="B69" s="13" t="s">
        <v>188</v>
      </c>
      <c r="C69" s="12">
        <v>84</v>
      </c>
      <c r="D69" s="13" t="s">
        <v>210</v>
      </c>
      <c r="E69" s="22" t="s">
        <v>5</v>
      </c>
      <c r="F69" s="15" t="s">
        <v>211</v>
      </c>
      <c r="G69" s="15" t="s">
        <v>75</v>
      </c>
      <c r="H69" s="16" t="str">
        <f>HYPERLINK("https://leetcode.com/problems/largest-rectangle-in-histogram/","Open")</f>
        <v>Open</v>
      </c>
      <c r="I69" s="17"/>
      <c r="J69" s="18"/>
      <c r="K69" s="19"/>
      <c r="L69" s="20"/>
    </row>
    <row r="70" spans="1:12" x14ac:dyDescent="0.3">
      <c r="A70" s="12">
        <v>61</v>
      </c>
      <c r="B70" s="13" t="s">
        <v>188</v>
      </c>
      <c r="C70" s="12">
        <v>85</v>
      </c>
      <c r="D70" s="13" t="s">
        <v>212</v>
      </c>
      <c r="E70" s="22" t="s">
        <v>5</v>
      </c>
      <c r="F70" s="15" t="s">
        <v>213</v>
      </c>
      <c r="G70" s="15" t="s">
        <v>60</v>
      </c>
      <c r="H70" s="16" t="str">
        <f>HYPERLINK("https://leetcode.com/problems/maximal-rectangle/","Open")</f>
        <v>Open</v>
      </c>
      <c r="I70" s="17"/>
      <c r="J70" s="18"/>
      <c r="K70" s="19"/>
      <c r="L70" s="20"/>
    </row>
    <row r="71" spans="1:12" x14ac:dyDescent="0.3">
      <c r="A71" s="12">
        <v>62</v>
      </c>
      <c r="B71" s="13" t="s">
        <v>188</v>
      </c>
      <c r="C71" s="12">
        <v>32</v>
      </c>
      <c r="D71" s="13" t="s">
        <v>214</v>
      </c>
      <c r="E71" s="22" t="s">
        <v>5</v>
      </c>
      <c r="F71" s="15" t="s">
        <v>215</v>
      </c>
      <c r="G71" s="15" t="s">
        <v>69</v>
      </c>
      <c r="H71" s="16" t="str">
        <f>HYPERLINK("https://leetcode.com/problems/longest-valid-parentheses/","Open")</f>
        <v>Open</v>
      </c>
      <c r="I71" s="17"/>
      <c r="J71" s="18"/>
      <c r="K71" s="19"/>
      <c r="L71" s="20"/>
    </row>
    <row r="72" spans="1:12" x14ac:dyDescent="0.3">
      <c r="A72" s="32" t="s">
        <v>216</v>
      </c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</row>
    <row r="73" spans="1:12" x14ac:dyDescent="0.3">
      <c r="A73" s="12">
        <v>63</v>
      </c>
      <c r="B73" s="13" t="s">
        <v>217</v>
      </c>
      <c r="C73" s="12">
        <v>704</v>
      </c>
      <c r="D73" s="13" t="s">
        <v>217</v>
      </c>
      <c r="E73" s="14" t="s">
        <v>3</v>
      </c>
      <c r="F73" s="15" t="s">
        <v>218</v>
      </c>
      <c r="G73" s="15" t="s">
        <v>69</v>
      </c>
      <c r="H73" s="16" t="str">
        <f>HYPERLINK("https://leetcode.com/problems/binary-search/","Open")</f>
        <v>Open</v>
      </c>
      <c r="I73" s="17"/>
      <c r="J73" s="18"/>
      <c r="K73" s="19"/>
      <c r="L73" s="20"/>
    </row>
    <row r="74" spans="1:12" x14ac:dyDescent="0.3">
      <c r="A74" s="12">
        <v>64</v>
      </c>
      <c r="B74" s="13" t="s">
        <v>217</v>
      </c>
      <c r="C74" s="12">
        <v>35</v>
      </c>
      <c r="D74" s="13" t="s">
        <v>219</v>
      </c>
      <c r="E74" s="14" t="s">
        <v>3</v>
      </c>
      <c r="F74" s="15" t="s">
        <v>220</v>
      </c>
      <c r="G74" s="15" t="s">
        <v>69</v>
      </c>
      <c r="H74" s="16" t="str">
        <f>HYPERLINK("https://leetcode.com/problems/search-insert-position/","Open")</f>
        <v>Open</v>
      </c>
      <c r="I74" s="17"/>
      <c r="J74" s="18"/>
      <c r="K74" s="19"/>
      <c r="L74" s="20"/>
    </row>
    <row r="75" spans="1:12" x14ac:dyDescent="0.3">
      <c r="A75" s="12">
        <v>65</v>
      </c>
      <c r="B75" s="13" t="s">
        <v>217</v>
      </c>
      <c r="C75" s="12">
        <v>1539</v>
      </c>
      <c r="D75" s="13" t="s">
        <v>221</v>
      </c>
      <c r="E75" s="14" t="s">
        <v>3</v>
      </c>
      <c r="F75" s="15" t="s">
        <v>222</v>
      </c>
      <c r="G75" s="15" t="s">
        <v>121</v>
      </c>
      <c r="H75" s="16" t="str">
        <f>HYPERLINK("https://leetcode.com/problems/kth-missing-positive-number/","Open")</f>
        <v>Open</v>
      </c>
      <c r="I75" s="17"/>
      <c r="J75" s="18"/>
      <c r="K75" s="19"/>
      <c r="L75" s="20"/>
    </row>
    <row r="76" spans="1:12" x14ac:dyDescent="0.3">
      <c r="A76" s="12">
        <v>66</v>
      </c>
      <c r="B76" s="13" t="s">
        <v>217</v>
      </c>
      <c r="C76" s="12">
        <v>74</v>
      </c>
      <c r="D76" s="13" t="s">
        <v>223</v>
      </c>
      <c r="E76" s="21" t="s">
        <v>4</v>
      </c>
      <c r="F76" s="15" t="s">
        <v>224</v>
      </c>
      <c r="G76" s="15" t="s">
        <v>55</v>
      </c>
      <c r="H76" s="16" t="str">
        <f>HYPERLINK("https://leetcode.com/problems/search-a-2d-matrix/","Open")</f>
        <v>Open</v>
      </c>
      <c r="I76" s="17"/>
      <c r="J76" s="18"/>
      <c r="K76" s="19"/>
      <c r="L76" s="20"/>
    </row>
    <row r="77" spans="1:12" x14ac:dyDescent="0.3">
      <c r="A77" s="12">
        <v>67</v>
      </c>
      <c r="B77" s="13" t="s">
        <v>217</v>
      </c>
      <c r="C77" s="12">
        <v>81</v>
      </c>
      <c r="D77" s="13" t="s">
        <v>225</v>
      </c>
      <c r="E77" s="21" t="s">
        <v>4</v>
      </c>
      <c r="F77" s="15" t="s">
        <v>226</v>
      </c>
      <c r="G77" s="15" t="s">
        <v>69</v>
      </c>
      <c r="H77" s="16" t="str">
        <f>HYPERLINK("https://leetcode.com/problems/search-in-rotated-sorted-array-ii/","Open")</f>
        <v>Open</v>
      </c>
      <c r="I77" s="17"/>
      <c r="J77" s="18"/>
      <c r="K77" s="19"/>
      <c r="L77" s="20"/>
    </row>
    <row r="78" spans="1:12" x14ac:dyDescent="0.3">
      <c r="A78" s="12">
        <v>68</v>
      </c>
      <c r="B78" s="13" t="s">
        <v>217</v>
      </c>
      <c r="C78" s="12">
        <v>154</v>
      </c>
      <c r="D78" s="13" t="s">
        <v>227</v>
      </c>
      <c r="E78" s="22" t="s">
        <v>5</v>
      </c>
      <c r="F78" s="15" t="s">
        <v>226</v>
      </c>
      <c r="G78" s="15" t="s">
        <v>69</v>
      </c>
      <c r="H78" s="16" t="str">
        <f>HYPERLINK("https://leetcode.com/problems/find-minimum-in-rotated-sorted-array-ii/","Open")</f>
        <v>Open</v>
      </c>
      <c r="I78" s="17"/>
      <c r="J78" s="18"/>
      <c r="K78" s="19"/>
      <c r="L78" s="20"/>
    </row>
    <row r="79" spans="1:12" x14ac:dyDescent="0.3">
      <c r="A79" s="12">
        <v>69</v>
      </c>
      <c r="B79" s="13" t="s">
        <v>217</v>
      </c>
      <c r="C79" s="12">
        <v>875</v>
      </c>
      <c r="D79" s="13" t="s">
        <v>228</v>
      </c>
      <c r="E79" s="21" t="s">
        <v>4</v>
      </c>
      <c r="F79" s="15" t="s">
        <v>229</v>
      </c>
      <c r="G79" s="15" t="s">
        <v>118</v>
      </c>
      <c r="H79" s="16" t="str">
        <f>HYPERLINK("https://leetcode.com/problems/koko-eating-bananas/","Open")</f>
        <v>Open</v>
      </c>
      <c r="I79" s="17"/>
      <c r="J79" s="18"/>
      <c r="K79" s="19"/>
      <c r="L79" s="20"/>
    </row>
    <row r="80" spans="1:12" x14ac:dyDescent="0.3">
      <c r="A80" s="12">
        <v>70</v>
      </c>
      <c r="B80" s="13" t="s">
        <v>217</v>
      </c>
      <c r="C80" s="12">
        <v>1011</v>
      </c>
      <c r="D80" s="13" t="s">
        <v>230</v>
      </c>
      <c r="E80" s="21" t="s">
        <v>4</v>
      </c>
      <c r="F80" s="15" t="s">
        <v>229</v>
      </c>
      <c r="G80" s="15" t="s">
        <v>60</v>
      </c>
      <c r="H80" s="16" t="str">
        <f>HYPERLINK("https://leetcode.com/problems/capacity-to-ship-packages-within-d-days/","Open")</f>
        <v>Open</v>
      </c>
      <c r="I80" s="17"/>
      <c r="J80" s="18"/>
      <c r="K80" s="19"/>
      <c r="L80" s="20"/>
    </row>
    <row r="81" spans="1:12" x14ac:dyDescent="0.3">
      <c r="A81" s="12">
        <v>71</v>
      </c>
      <c r="B81" s="13" t="s">
        <v>217</v>
      </c>
      <c r="C81" s="12">
        <v>1283</v>
      </c>
      <c r="D81" s="13" t="s">
        <v>231</v>
      </c>
      <c r="E81" s="21" t="s">
        <v>4</v>
      </c>
      <c r="F81" s="15" t="s">
        <v>229</v>
      </c>
      <c r="G81" s="15" t="s">
        <v>232</v>
      </c>
      <c r="H81" s="16" t="str">
        <f>HYPERLINK("https://leetcode.com/problems/find-the-smallest-divisor-given-a-threshold/","Open")</f>
        <v>Open</v>
      </c>
      <c r="I81" s="17"/>
      <c r="J81" s="18"/>
      <c r="K81" s="19"/>
      <c r="L81" s="20"/>
    </row>
    <row r="82" spans="1:12" x14ac:dyDescent="0.3">
      <c r="A82" s="12">
        <v>72</v>
      </c>
      <c r="B82" s="13" t="s">
        <v>217</v>
      </c>
      <c r="C82" s="12">
        <v>1482</v>
      </c>
      <c r="D82" s="13" t="s">
        <v>233</v>
      </c>
      <c r="E82" s="21" t="s">
        <v>4</v>
      </c>
      <c r="F82" s="15" t="s">
        <v>229</v>
      </c>
      <c r="G82" s="15" t="s">
        <v>60</v>
      </c>
      <c r="H82" s="16" t="str">
        <f>HYPERLINK("https://leetcode.com/problems/minimum-number-of-days-to-make-m-bouquets/","Open")</f>
        <v>Open</v>
      </c>
      <c r="I82" s="17"/>
      <c r="J82" s="18"/>
      <c r="K82" s="19"/>
      <c r="L82" s="20"/>
    </row>
    <row r="83" spans="1:12" x14ac:dyDescent="0.3">
      <c r="A83" s="12">
        <v>73</v>
      </c>
      <c r="B83" s="13" t="s">
        <v>217</v>
      </c>
      <c r="C83" s="12">
        <v>410</v>
      </c>
      <c r="D83" s="13" t="s">
        <v>234</v>
      </c>
      <c r="E83" s="22" t="s">
        <v>5</v>
      </c>
      <c r="F83" s="15" t="s">
        <v>235</v>
      </c>
      <c r="G83" s="15" t="s">
        <v>118</v>
      </c>
      <c r="H83" s="16" t="str">
        <f>HYPERLINK("https://leetcode.com/problems/split-array-largest-sum/","Open")</f>
        <v>Open</v>
      </c>
      <c r="I83" s="17"/>
      <c r="J83" s="18"/>
      <c r="K83" s="19"/>
      <c r="L83" s="20"/>
    </row>
    <row r="84" spans="1:12" ht="26.4" x14ac:dyDescent="0.3">
      <c r="A84" s="12">
        <v>74</v>
      </c>
      <c r="B84" s="13" t="s">
        <v>217</v>
      </c>
      <c r="C84" s="12">
        <v>4</v>
      </c>
      <c r="D84" s="13" t="s">
        <v>236</v>
      </c>
      <c r="E84" s="22" t="s">
        <v>5</v>
      </c>
      <c r="F84" s="15" t="s">
        <v>237</v>
      </c>
      <c r="G84" s="15" t="s">
        <v>238</v>
      </c>
      <c r="H84" s="16" t="str">
        <f>HYPERLINK("https://leetcode.com/problems/median-of-two-sorted-arrays/","Open")</f>
        <v>Open</v>
      </c>
      <c r="I84" s="17"/>
      <c r="J84" s="18"/>
      <c r="K84" s="19"/>
      <c r="L84" s="20"/>
    </row>
    <row r="85" spans="1:12" x14ac:dyDescent="0.3">
      <c r="A85" s="32" t="s">
        <v>239</v>
      </c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</row>
    <row r="86" spans="1:12" x14ac:dyDescent="0.3">
      <c r="A86" s="12">
        <v>75</v>
      </c>
      <c r="B86" s="13" t="s">
        <v>240</v>
      </c>
      <c r="C86" s="12">
        <v>142</v>
      </c>
      <c r="D86" s="13" t="s">
        <v>241</v>
      </c>
      <c r="E86" s="21" t="s">
        <v>4</v>
      </c>
      <c r="F86" s="15" t="s">
        <v>242</v>
      </c>
      <c r="G86" s="15" t="s">
        <v>69</v>
      </c>
      <c r="H86" s="16" t="str">
        <f>HYPERLINK("https://leetcode.com/problems/linked-list-cycle-ii/","Open")</f>
        <v>Open</v>
      </c>
      <c r="I86" s="17"/>
      <c r="J86" s="18"/>
      <c r="K86" s="19"/>
      <c r="L86" s="20"/>
    </row>
    <row r="87" spans="1:12" x14ac:dyDescent="0.3">
      <c r="A87" s="12">
        <v>76</v>
      </c>
      <c r="B87" s="13" t="s">
        <v>240</v>
      </c>
      <c r="C87" s="12">
        <v>82</v>
      </c>
      <c r="D87" s="13" t="s">
        <v>243</v>
      </c>
      <c r="E87" s="21" t="s">
        <v>4</v>
      </c>
      <c r="F87" s="15" t="s">
        <v>244</v>
      </c>
      <c r="G87" s="15" t="s">
        <v>69</v>
      </c>
      <c r="H87" s="16" t="str">
        <f>HYPERLINK("https://leetcode.com/problems/remove-duplicates-from-sorted-list-ii/","Open")</f>
        <v>Open</v>
      </c>
      <c r="I87" s="17"/>
      <c r="J87" s="18"/>
      <c r="K87" s="19"/>
      <c r="L87" s="20"/>
    </row>
    <row r="88" spans="1:12" x14ac:dyDescent="0.3">
      <c r="A88" s="12">
        <v>77</v>
      </c>
      <c r="B88" s="13" t="s">
        <v>240</v>
      </c>
      <c r="C88" s="12">
        <v>86</v>
      </c>
      <c r="D88" s="13" t="s">
        <v>245</v>
      </c>
      <c r="E88" s="21" t="s">
        <v>4</v>
      </c>
      <c r="F88" s="15" t="s">
        <v>246</v>
      </c>
      <c r="G88" s="15" t="s">
        <v>69</v>
      </c>
      <c r="H88" s="16" t="str">
        <f>HYPERLINK("https://leetcode.com/problems/partition-list/","Open")</f>
        <v>Open</v>
      </c>
      <c r="I88" s="17"/>
      <c r="J88" s="18"/>
      <c r="K88" s="19"/>
      <c r="L88" s="20"/>
    </row>
    <row r="89" spans="1:12" x14ac:dyDescent="0.3">
      <c r="A89" s="12">
        <v>78</v>
      </c>
      <c r="B89" s="13" t="s">
        <v>240</v>
      </c>
      <c r="C89" s="12">
        <v>92</v>
      </c>
      <c r="D89" s="13" t="s">
        <v>247</v>
      </c>
      <c r="E89" s="21" t="s">
        <v>4</v>
      </c>
      <c r="F89" s="15" t="s">
        <v>248</v>
      </c>
      <c r="G89" s="15" t="s">
        <v>172</v>
      </c>
      <c r="H89" s="16" t="str">
        <f>HYPERLINK("https://leetcode.com/problems/reverse-linked-list-ii/","Open")</f>
        <v>Open</v>
      </c>
      <c r="I89" s="17"/>
      <c r="J89" s="18"/>
      <c r="K89" s="19"/>
      <c r="L89" s="20"/>
    </row>
    <row r="90" spans="1:12" x14ac:dyDescent="0.3">
      <c r="A90" s="12">
        <v>79</v>
      </c>
      <c r="B90" s="13" t="s">
        <v>240</v>
      </c>
      <c r="C90" s="12">
        <v>143</v>
      </c>
      <c r="D90" s="13" t="s">
        <v>249</v>
      </c>
      <c r="E90" s="21" t="s">
        <v>4</v>
      </c>
      <c r="F90" s="15" t="s">
        <v>250</v>
      </c>
      <c r="G90" s="15" t="s">
        <v>251</v>
      </c>
      <c r="H90" s="16" t="str">
        <f>HYPERLINK("https://leetcode.com/problems/reorder-list/","Open")</f>
        <v>Open</v>
      </c>
      <c r="I90" s="17"/>
      <c r="J90" s="18"/>
      <c r="K90" s="19"/>
      <c r="L90" s="20"/>
    </row>
    <row r="91" spans="1:12" x14ac:dyDescent="0.3">
      <c r="A91" s="12">
        <v>80</v>
      </c>
      <c r="B91" s="13" t="s">
        <v>240</v>
      </c>
      <c r="C91" s="12">
        <v>2095</v>
      </c>
      <c r="D91" s="13" t="s">
        <v>252</v>
      </c>
      <c r="E91" s="21" t="s">
        <v>4</v>
      </c>
      <c r="F91" s="15" t="s">
        <v>143</v>
      </c>
      <c r="G91" s="15" t="s">
        <v>151</v>
      </c>
      <c r="H91" s="16" t="str">
        <f>HYPERLINK("https://leetcode.com/problems/delete-the-middle-node-of-a-linked-list/","Open")</f>
        <v>Open</v>
      </c>
      <c r="I91" s="17"/>
      <c r="J91" s="18"/>
      <c r="K91" s="19"/>
      <c r="L91" s="20"/>
    </row>
    <row r="92" spans="1:12" x14ac:dyDescent="0.3">
      <c r="A92" s="12">
        <v>81</v>
      </c>
      <c r="B92" s="13" t="s">
        <v>240</v>
      </c>
      <c r="C92" s="12">
        <v>445</v>
      </c>
      <c r="D92" s="13" t="s">
        <v>253</v>
      </c>
      <c r="E92" s="21" t="s">
        <v>4</v>
      </c>
      <c r="F92" s="15" t="s">
        <v>254</v>
      </c>
      <c r="G92" s="15" t="s">
        <v>255</v>
      </c>
      <c r="H92" s="16" t="str">
        <f>HYPERLINK("https://leetcode.com/problems/add-two-numbers-ii/","Open")</f>
        <v>Open</v>
      </c>
      <c r="I92" s="17"/>
      <c r="J92" s="18"/>
      <c r="K92" s="19"/>
      <c r="L92" s="20"/>
    </row>
    <row r="93" spans="1:12" x14ac:dyDescent="0.3">
      <c r="A93" s="12">
        <v>82</v>
      </c>
      <c r="B93" s="13" t="s">
        <v>240</v>
      </c>
      <c r="C93" s="12">
        <v>138</v>
      </c>
      <c r="D93" s="13" t="s">
        <v>256</v>
      </c>
      <c r="E93" s="21" t="s">
        <v>4</v>
      </c>
      <c r="F93" s="15" t="s">
        <v>257</v>
      </c>
      <c r="G93" s="15" t="s">
        <v>172</v>
      </c>
      <c r="H93" s="16" t="str">
        <f>HYPERLINK("https://leetcode.com/problems/copy-list-with-random-pointer/","Open")</f>
        <v>Open</v>
      </c>
      <c r="I93" s="17"/>
      <c r="J93" s="18"/>
      <c r="K93" s="19"/>
      <c r="L93" s="20"/>
    </row>
    <row r="94" spans="1:12" x14ac:dyDescent="0.3">
      <c r="A94" s="12">
        <v>83</v>
      </c>
      <c r="B94" s="13" t="s">
        <v>240</v>
      </c>
      <c r="C94" s="12">
        <v>148</v>
      </c>
      <c r="D94" s="13" t="s">
        <v>258</v>
      </c>
      <c r="E94" s="21" t="s">
        <v>4</v>
      </c>
      <c r="F94" s="15" t="s">
        <v>259</v>
      </c>
      <c r="G94" s="15" t="s">
        <v>69</v>
      </c>
      <c r="H94" s="16" t="str">
        <f>HYPERLINK("https://leetcode.com/problems/sort-list/","Open")</f>
        <v>Open</v>
      </c>
      <c r="I94" s="17"/>
      <c r="J94" s="18"/>
      <c r="K94" s="19"/>
      <c r="L94" s="20"/>
    </row>
    <row r="95" spans="1:12" x14ac:dyDescent="0.3">
      <c r="A95" s="12">
        <v>84</v>
      </c>
      <c r="B95" s="13" t="s">
        <v>240</v>
      </c>
      <c r="C95" s="12">
        <v>430</v>
      </c>
      <c r="D95" s="13" t="s">
        <v>260</v>
      </c>
      <c r="E95" s="21" t="s">
        <v>4</v>
      </c>
      <c r="F95" s="15" t="s">
        <v>261</v>
      </c>
      <c r="G95" s="15" t="s">
        <v>69</v>
      </c>
      <c r="H95" s="16" t="str">
        <f>HYPERLINK("https://leetcode.com/problems/flatten-a-multilevel-doubly-linked-list/","Open")</f>
        <v>Open</v>
      </c>
      <c r="I95" s="17"/>
      <c r="J95" s="18"/>
      <c r="K95" s="19"/>
      <c r="L95" s="20"/>
    </row>
    <row r="96" spans="1:12" x14ac:dyDescent="0.3">
      <c r="A96" s="12">
        <v>85</v>
      </c>
      <c r="B96" s="13" t="s">
        <v>240</v>
      </c>
      <c r="C96" s="12">
        <v>25</v>
      </c>
      <c r="D96" s="13" t="s">
        <v>262</v>
      </c>
      <c r="E96" s="22" t="s">
        <v>5</v>
      </c>
      <c r="F96" s="15" t="s">
        <v>263</v>
      </c>
      <c r="G96" s="15" t="s">
        <v>172</v>
      </c>
      <c r="H96" s="16" t="str">
        <f>HYPERLINK("https://leetcode.com/problems/reverse-nodes-in-k-group/","Open")</f>
        <v>Open</v>
      </c>
      <c r="I96" s="17"/>
      <c r="J96" s="18"/>
      <c r="K96" s="19"/>
      <c r="L96" s="20"/>
    </row>
    <row r="97" spans="1:12" x14ac:dyDescent="0.3">
      <c r="A97" s="12">
        <v>86</v>
      </c>
      <c r="B97" s="13" t="s">
        <v>240</v>
      </c>
      <c r="C97" s="12">
        <v>23</v>
      </c>
      <c r="D97" s="13" t="s">
        <v>264</v>
      </c>
      <c r="E97" s="22" t="s">
        <v>5</v>
      </c>
      <c r="F97" s="15" t="s">
        <v>265</v>
      </c>
      <c r="G97" s="15" t="s">
        <v>266</v>
      </c>
      <c r="H97" s="16" t="str">
        <f>HYPERLINK("https://leetcode.com/problems/merge-k-sorted-lists/","Open")</f>
        <v>Open</v>
      </c>
      <c r="I97" s="17"/>
      <c r="J97" s="18"/>
      <c r="K97" s="19"/>
      <c r="L97" s="20"/>
    </row>
    <row r="98" spans="1:12" x14ac:dyDescent="0.3">
      <c r="A98" s="32" t="s">
        <v>267</v>
      </c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</row>
    <row r="99" spans="1:12" x14ac:dyDescent="0.3">
      <c r="A99" s="12">
        <v>87</v>
      </c>
      <c r="B99" s="13" t="s">
        <v>268</v>
      </c>
      <c r="C99" s="12">
        <v>13</v>
      </c>
      <c r="D99" s="13" t="s">
        <v>269</v>
      </c>
      <c r="E99" s="14" t="s">
        <v>3</v>
      </c>
      <c r="F99" s="15" t="s">
        <v>270</v>
      </c>
      <c r="G99" s="15" t="s">
        <v>63</v>
      </c>
      <c r="H99" s="16" t="str">
        <f>HYPERLINK("https://leetcode.com/problems/roman-to-integer/","Open")</f>
        <v>Open</v>
      </c>
      <c r="I99" s="17"/>
      <c r="J99" s="18"/>
      <c r="K99" s="19"/>
      <c r="L99" s="20"/>
    </row>
    <row r="100" spans="1:12" x14ac:dyDescent="0.3">
      <c r="A100" s="12">
        <v>88</v>
      </c>
      <c r="B100" s="13" t="s">
        <v>268</v>
      </c>
      <c r="C100" s="12">
        <v>12</v>
      </c>
      <c r="D100" s="13" t="s">
        <v>271</v>
      </c>
      <c r="E100" s="21" t="s">
        <v>4</v>
      </c>
      <c r="F100" s="15" t="s">
        <v>272</v>
      </c>
      <c r="G100" s="15" t="s">
        <v>69</v>
      </c>
      <c r="H100" s="16" t="str">
        <f>HYPERLINK("https://leetcode.com/problems/integer-to-roman/","Open")</f>
        <v>Open</v>
      </c>
      <c r="I100" s="17"/>
      <c r="J100" s="18"/>
      <c r="K100" s="19"/>
      <c r="L100" s="20"/>
    </row>
    <row r="101" spans="1:12" x14ac:dyDescent="0.3">
      <c r="A101" s="12">
        <v>89</v>
      </c>
      <c r="B101" s="13" t="s">
        <v>268</v>
      </c>
      <c r="C101" s="12">
        <v>67</v>
      </c>
      <c r="D101" s="13" t="s">
        <v>273</v>
      </c>
      <c r="E101" s="14" t="s">
        <v>3</v>
      </c>
      <c r="F101" s="15" t="s">
        <v>274</v>
      </c>
      <c r="G101" s="15" t="s">
        <v>141</v>
      </c>
      <c r="H101" s="16" t="str">
        <f>HYPERLINK("https://leetcode.com/problems/add-binary/","Open")</f>
        <v>Open</v>
      </c>
      <c r="I101" s="17"/>
      <c r="J101" s="18"/>
      <c r="K101" s="19"/>
      <c r="L101" s="20"/>
    </row>
    <row r="102" spans="1:12" x14ac:dyDescent="0.3">
      <c r="A102" s="12">
        <v>90</v>
      </c>
      <c r="B102" s="13" t="s">
        <v>268</v>
      </c>
      <c r="C102" s="12">
        <v>290</v>
      </c>
      <c r="D102" s="13" t="s">
        <v>275</v>
      </c>
      <c r="E102" s="14" t="s">
        <v>3</v>
      </c>
      <c r="F102" s="15" t="s">
        <v>276</v>
      </c>
      <c r="G102" s="15" t="s">
        <v>128</v>
      </c>
      <c r="H102" s="16" t="str">
        <f>HYPERLINK("https://leetcode.com/problems/word-pattern/","Open")</f>
        <v>Open</v>
      </c>
      <c r="I102" s="17"/>
      <c r="J102" s="18"/>
      <c r="K102" s="19"/>
      <c r="L102" s="20"/>
    </row>
    <row r="103" spans="1:12" x14ac:dyDescent="0.3">
      <c r="A103" s="12">
        <v>91</v>
      </c>
      <c r="B103" s="13" t="s">
        <v>268</v>
      </c>
      <c r="C103" s="12">
        <v>387</v>
      </c>
      <c r="D103" s="13" t="s">
        <v>277</v>
      </c>
      <c r="E103" s="14" t="s">
        <v>3</v>
      </c>
      <c r="F103" s="15" t="s">
        <v>278</v>
      </c>
      <c r="G103" s="15" t="s">
        <v>63</v>
      </c>
      <c r="H103" s="16" t="str">
        <f>HYPERLINK("https://leetcode.com/problems/first-unique-character-in-a-string/","Open")</f>
        <v>Open</v>
      </c>
      <c r="I103" s="17"/>
      <c r="J103" s="18"/>
      <c r="K103" s="19"/>
      <c r="L103" s="20"/>
    </row>
    <row r="104" spans="1:12" x14ac:dyDescent="0.3">
      <c r="A104" s="12">
        <v>92</v>
      </c>
      <c r="B104" s="13" t="s">
        <v>268</v>
      </c>
      <c r="C104" s="12">
        <v>459</v>
      </c>
      <c r="D104" s="13" t="s">
        <v>279</v>
      </c>
      <c r="E104" s="14" t="s">
        <v>3</v>
      </c>
      <c r="F104" s="15" t="s">
        <v>280</v>
      </c>
      <c r="G104" s="15" t="s">
        <v>60</v>
      </c>
      <c r="H104" s="16" t="str">
        <f>HYPERLINK("https://leetcode.com/problems/repeated-substring-pattern/","Open")</f>
        <v>Open</v>
      </c>
      <c r="I104" s="17"/>
      <c r="J104" s="18"/>
      <c r="K104" s="19"/>
      <c r="L104" s="20"/>
    </row>
    <row r="105" spans="1:12" x14ac:dyDescent="0.3">
      <c r="A105" s="12">
        <v>93</v>
      </c>
      <c r="B105" s="13" t="s">
        <v>268</v>
      </c>
      <c r="C105" s="12">
        <v>8</v>
      </c>
      <c r="D105" s="13" t="s">
        <v>281</v>
      </c>
      <c r="E105" s="21" t="s">
        <v>4</v>
      </c>
      <c r="F105" s="15" t="s">
        <v>282</v>
      </c>
      <c r="G105" s="15" t="s">
        <v>172</v>
      </c>
      <c r="H105" s="16" t="str">
        <f>HYPERLINK("https://leetcode.com/problems/string-to-integer-atoi/","Open")</f>
        <v>Open</v>
      </c>
      <c r="I105" s="17"/>
      <c r="J105" s="18"/>
      <c r="K105" s="19"/>
      <c r="L105" s="20"/>
    </row>
    <row r="106" spans="1:12" x14ac:dyDescent="0.3">
      <c r="A106" s="12">
        <v>94</v>
      </c>
      <c r="B106" s="13" t="s">
        <v>268</v>
      </c>
      <c r="C106" s="12">
        <v>165</v>
      </c>
      <c r="D106" s="13" t="s">
        <v>283</v>
      </c>
      <c r="E106" s="21" t="s">
        <v>4</v>
      </c>
      <c r="F106" s="15" t="s">
        <v>284</v>
      </c>
      <c r="G106" s="15" t="s">
        <v>69</v>
      </c>
      <c r="H106" s="16" t="str">
        <f>HYPERLINK("https://leetcode.com/problems/compare-version-numbers/","Open")</f>
        <v>Open</v>
      </c>
      <c r="I106" s="17"/>
      <c r="J106" s="18"/>
      <c r="K106" s="19"/>
      <c r="L106" s="20"/>
    </row>
    <row r="107" spans="1:12" x14ac:dyDescent="0.3">
      <c r="A107" s="12">
        <v>95</v>
      </c>
      <c r="B107" s="13" t="s">
        <v>268</v>
      </c>
      <c r="C107" s="12">
        <v>43</v>
      </c>
      <c r="D107" s="13" t="s">
        <v>285</v>
      </c>
      <c r="E107" s="21" t="s">
        <v>4</v>
      </c>
      <c r="F107" s="15" t="s">
        <v>286</v>
      </c>
      <c r="G107" s="15" t="s">
        <v>141</v>
      </c>
      <c r="H107" s="16" t="str">
        <f>HYPERLINK("https://leetcode.com/problems/multiply-strings/","Open")</f>
        <v>Open</v>
      </c>
      <c r="I107" s="17"/>
      <c r="J107" s="18"/>
      <c r="K107" s="19"/>
      <c r="L107" s="20"/>
    </row>
    <row r="108" spans="1:12" x14ac:dyDescent="0.3">
      <c r="A108" s="12">
        <v>96</v>
      </c>
      <c r="B108" s="13" t="s">
        <v>268</v>
      </c>
      <c r="C108" s="12">
        <v>179</v>
      </c>
      <c r="D108" s="13" t="s">
        <v>287</v>
      </c>
      <c r="E108" s="21" t="s">
        <v>4</v>
      </c>
      <c r="F108" s="15" t="s">
        <v>288</v>
      </c>
      <c r="G108" s="15" t="s">
        <v>69</v>
      </c>
      <c r="H108" s="16" t="str">
        <f>HYPERLINK("https://leetcode.com/problems/largest-number/","Open")</f>
        <v>Open</v>
      </c>
      <c r="I108" s="17"/>
      <c r="J108" s="18"/>
      <c r="K108" s="19"/>
      <c r="L108" s="20"/>
    </row>
    <row r="109" spans="1:12" x14ac:dyDescent="0.3">
      <c r="A109" s="12">
        <v>97</v>
      </c>
      <c r="B109" s="13" t="s">
        <v>268</v>
      </c>
      <c r="C109" s="12">
        <v>187</v>
      </c>
      <c r="D109" s="13" t="s">
        <v>289</v>
      </c>
      <c r="E109" s="21" t="s">
        <v>4</v>
      </c>
      <c r="F109" s="15" t="s">
        <v>290</v>
      </c>
      <c r="G109" s="15" t="s">
        <v>60</v>
      </c>
      <c r="H109" s="16" t="str">
        <f>HYPERLINK("https://leetcode.com/problems/repeated-dna-sequences/","Open")</f>
        <v>Open</v>
      </c>
      <c r="I109" s="17"/>
      <c r="J109" s="18"/>
      <c r="K109" s="19"/>
      <c r="L109" s="20"/>
    </row>
    <row r="110" spans="1:12" x14ac:dyDescent="0.3">
      <c r="A110" s="12">
        <v>98</v>
      </c>
      <c r="B110" s="13" t="s">
        <v>268</v>
      </c>
      <c r="C110" s="12">
        <v>214</v>
      </c>
      <c r="D110" s="13" t="s">
        <v>291</v>
      </c>
      <c r="E110" s="22" t="s">
        <v>5</v>
      </c>
      <c r="F110" s="15" t="s">
        <v>292</v>
      </c>
      <c r="G110" s="15" t="s">
        <v>293</v>
      </c>
      <c r="H110" s="16" t="str">
        <f>HYPERLINK("https://leetcode.com/problems/shortest-palindrome/","Open")</f>
        <v>Open</v>
      </c>
      <c r="I110" s="17"/>
      <c r="J110" s="18"/>
      <c r="K110" s="19"/>
      <c r="L110" s="20"/>
    </row>
    <row r="111" spans="1:12" x14ac:dyDescent="0.3">
      <c r="A111" s="32" t="s">
        <v>294</v>
      </c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</row>
    <row r="112" spans="1:12" x14ac:dyDescent="0.3">
      <c r="A112" s="12">
        <v>99</v>
      </c>
      <c r="B112" s="13" t="s">
        <v>295</v>
      </c>
      <c r="C112" s="12">
        <v>111</v>
      </c>
      <c r="D112" s="13" t="s">
        <v>296</v>
      </c>
      <c r="E112" s="14" t="s">
        <v>3</v>
      </c>
      <c r="F112" s="15" t="s">
        <v>297</v>
      </c>
      <c r="G112" s="15" t="s">
        <v>69</v>
      </c>
      <c r="H112" s="16" t="str">
        <f>HYPERLINK("https://leetcode.com/problems/minimum-depth-of-binary-tree/","Open")</f>
        <v>Open</v>
      </c>
      <c r="I112" s="17"/>
      <c r="J112" s="18"/>
      <c r="K112" s="19"/>
      <c r="L112" s="20"/>
    </row>
    <row r="113" spans="1:12" x14ac:dyDescent="0.3">
      <c r="A113" s="12">
        <v>100</v>
      </c>
      <c r="B113" s="13" t="s">
        <v>295</v>
      </c>
      <c r="C113" s="12">
        <v>105</v>
      </c>
      <c r="D113" s="13" t="s">
        <v>298</v>
      </c>
      <c r="E113" s="21" t="s">
        <v>4</v>
      </c>
      <c r="F113" s="15" t="s">
        <v>299</v>
      </c>
      <c r="G113" s="15" t="s">
        <v>172</v>
      </c>
      <c r="H113" s="16" t="str">
        <f>HYPERLINK("https://leetcode.com/problems/construct-binary-tree-from-preorder-and-inorder-traversal/","Open")</f>
        <v>Open</v>
      </c>
      <c r="I113" s="17"/>
      <c r="J113" s="18"/>
      <c r="K113" s="19"/>
      <c r="L113" s="20"/>
    </row>
    <row r="114" spans="1:12" x14ac:dyDescent="0.3">
      <c r="A114" s="12">
        <v>101</v>
      </c>
      <c r="B114" s="13" t="s">
        <v>295</v>
      </c>
      <c r="C114" s="12">
        <v>106</v>
      </c>
      <c r="D114" s="13" t="s">
        <v>300</v>
      </c>
      <c r="E114" s="21" t="s">
        <v>4</v>
      </c>
      <c r="F114" s="15" t="s">
        <v>301</v>
      </c>
      <c r="G114" s="15" t="s">
        <v>69</v>
      </c>
      <c r="H114" s="16" t="str">
        <f>HYPERLINK("https://leetcode.com/problems/construct-binary-tree-from-inorder-and-postorder-traversal/","Open")</f>
        <v>Open</v>
      </c>
      <c r="I114" s="17"/>
      <c r="J114" s="18"/>
      <c r="K114" s="19"/>
      <c r="L114" s="20"/>
    </row>
    <row r="115" spans="1:12" x14ac:dyDescent="0.3">
      <c r="A115" s="12">
        <v>102</v>
      </c>
      <c r="B115" s="13" t="s">
        <v>295</v>
      </c>
      <c r="C115" s="12">
        <v>113</v>
      </c>
      <c r="D115" s="13" t="s">
        <v>302</v>
      </c>
      <c r="E115" s="21" t="s">
        <v>4</v>
      </c>
      <c r="F115" s="15" t="s">
        <v>303</v>
      </c>
      <c r="G115" s="15" t="s">
        <v>69</v>
      </c>
      <c r="H115" s="16" t="str">
        <f>HYPERLINK("https://leetcode.com/problems/path-sum-ii/","Open")</f>
        <v>Open</v>
      </c>
      <c r="I115" s="17"/>
      <c r="J115" s="18"/>
      <c r="K115" s="19"/>
      <c r="L115" s="20"/>
    </row>
    <row r="116" spans="1:12" x14ac:dyDescent="0.3">
      <c r="A116" s="12">
        <v>103</v>
      </c>
      <c r="B116" s="13" t="s">
        <v>295</v>
      </c>
      <c r="C116" s="12">
        <v>437</v>
      </c>
      <c r="D116" s="13" t="s">
        <v>304</v>
      </c>
      <c r="E116" s="21" t="s">
        <v>4</v>
      </c>
      <c r="F116" s="15" t="s">
        <v>305</v>
      </c>
      <c r="G116" s="15" t="s">
        <v>172</v>
      </c>
      <c r="H116" s="16" t="str">
        <f>HYPERLINK("https://leetcode.com/problems/path-sum-iii/","Open")</f>
        <v>Open</v>
      </c>
      <c r="I116" s="17"/>
      <c r="J116" s="18"/>
      <c r="K116" s="19"/>
      <c r="L116" s="20"/>
    </row>
    <row r="117" spans="1:12" x14ac:dyDescent="0.3">
      <c r="A117" s="12">
        <v>104</v>
      </c>
      <c r="B117" s="13" t="s">
        <v>295</v>
      </c>
      <c r="C117" s="12">
        <v>129</v>
      </c>
      <c r="D117" s="13" t="s">
        <v>306</v>
      </c>
      <c r="E117" s="21" t="s">
        <v>4</v>
      </c>
      <c r="F117" s="15" t="s">
        <v>307</v>
      </c>
      <c r="G117" s="15" t="s">
        <v>69</v>
      </c>
      <c r="H117" s="16" t="str">
        <f>HYPERLINK("https://leetcode.com/problems/sum-root-to-leaf-numbers/","Open")</f>
        <v>Open</v>
      </c>
      <c r="I117" s="17"/>
      <c r="J117" s="18"/>
      <c r="K117" s="19"/>
      <c r="L117" s="20"/>
    </row>
    <row r="118" spans="1:12" x14ac:dyDescent="0.3">
      <c r="A118" s="12">
        <v>105</v>
      </c>
      <c r="B118" s="13" t="s">
        <v>295</v>
      </c>
      <c r="C118" s="12">
        <v>114</v>
      </c>
      <c r="D118" s="13" t="s">
        <v>308</v>
      </c>
      <c r="E118" s="21" t="s">
        <v>4</v>
      </c>
      <c r="F118" s="15" t="s">
        <v>309</v>
      </c>
      <c r="G118" s="15" t="s">
        <v>172</v>
      </c>
      <c r="H118" s="16" t="str">
        <f>HYPERLINK("https://leetcode.com/problems/flatten-binary-tree-to-linked-list/","Open")</f>
        <v>Open</v>
      </c>
      <c r="I118" s="17"/>
      <c r="J118" s="18"/>
      <c r="K118" s="19"/>
      <c r="L118" s="20"/>
    </row>
    <row r="119" spans="1:12" x14ac:dyDescent="0.3">
      <c r="A119" s="12">
        <v>106</v>
      </c>
      <c r="B119" s="13" t="s">
        <v>295</v>
      </c>
      <c r="C119" s="12">
        <v>662</v>
      </c>
      <c r="D119" s="13" t="s">
        <v>310</v>
      </c>
      <c r="E119" s="21" t="s">
        <v>4</v>
      </c>
      <c r="F119" s="15" t="s">
        <v>311</v>
      </c>
      <c r="G119" s="15" t="s">
        <v>69</v>
      </c>
      <c r="H119" s="16" t="str">
        <f>HYPERLINK("https://leetcode.com/problems/maximum-width-of-binary-tree/","Open")</f>
        <v>Open</v>
      </c>
      <c r="I119" s="17"/>
      <c r="J119" s="18"/>
      <c r="K119" s="19"/>
      <c r="L119" s="20"/>
    </row>
    <row r="120" spans="1:12" x14ac:dyDescent="0.3">
      <c r="A120" s="12">
        <v>107</v>
      </c>
      <c r="B120" s="13" t="s">
        <v>295</v>
      </c>
      <c r="C120" s="12">
        <v>863</v>
      </c>
      <c r="D120" s="13" t="s">
        <v>312</v>
      </c>
      <c r="E120" s="21" t="s">
        <v>4</v>
      </c>
      <c r="F120" s="15" t="s">
        <v>313</v>
      </c>
      <c r="G120" s="15" t="s">
        <v>251</v>
      </c>
      <c r="H120" s="16" t="str">
        <f>HYPERLINK("https://leetcode.com/problems/all-nodes-distance-k-in-binary-tree/","Open")</f>
        <v>Open</v>
      </c>
      <c r="I120" s="17"/>
      <c r="J120" s="18"/>
      <c r="K120" s="19"/>
      <c r="L120" s="20"/>
    </row>
    <row r="121" spans="1:12" x14ac:dyDescent="0.3">
      <c r="A121" s="12">
        <v>108</v>
      </c>
      <c r="B121" s="13" t="s">
        <v>295</v>
      </c>
      <c r="C121" s="12">
        <v>337</v>
      </c>
      <c r="D121" s="13" t="s">
        <v>314</v>
      </c>
      <c r="E121" s="21" t="s">
        <v>4</v>
      </c>
      <c r="F121" s="15" t="s">
        <v>315</v>
      </c>
      <c r="G121" s="15" t="s">
        <v>60</v>
      </c>
      <c r="H121" s="16" t="str">
        <f>HYPERLINK("https://leetcode.com/problems/house-robber-iii/","Open")</f>
        <v>Open</v>
      </c>
      <c r="I121" s="17"/>
      <c r="J121" s="18"/>
      <c r="K121" s="19"/>
      <c r="L121" s="20"/>
    </row>
    <row r="122" spans="1:12" x14ac:dyDescent="0.3">
      <c r="A122" s="12">
        <v>109</v>
      </c>
      <c r="B122" s="13" t="s">
        <v>295</v>
      </c>
      <c r="C122" s="12">
        <v>1026</v>
      </c>
      <c r="D122" s="13" t="s">
        <v>316</v>
      </c>
      <c r="E122" s="21" t="s">
        <v>4</v>
      </c>
      <c r="F122" s="15" t="s">
        <v>317</v>
      </c>
      <c r="G122" s="15" t="s">
        <v>151</v>
      </c>
      <c r="H122" s="16" t="str">
        <f>HYPERLINK("https://leetcode.com/problems/maximum-difference-between-node-and-ancestor/","Open")</f>
        <v>Open</v>
      </c>
      <c r="I122" s="17"/>
      <c r="J122" s="18"/>
      <c r="K122" s="19"/>
      <c r="L122" s="20"/>
    </row>
    <row r="123" spans="1:12" x14ac:dyDescent="0.3">
      <c r="A123" s="12">
        <v>110</v>
      </c>
      <c r="B123" s="13" t="s">
        <v>295</v>
      </c>
      <c r="C123" s="12">
        <v>987</v>
      </c>
      <c r="D123" s="13" t="s">
        <v>318</v>
      </c>
      <c r="E123" s="22" t="s">
        <v>5</v>
      </c>
      <c r="F123" s="15" t="s">
        <v>319</v>
      </c>
      <c r="G123" s="15" t="s">
        <v>251</v>
      </c>
      <c r="H123" s="16" t="str">
        <f>HYPERLINK("https://leetcode.com/problems/vertical-order-traversal-of-a-binary-tree/","Open")</f>
        <v>Open</v>
      </c>
      <c r="I123" s="17"/>
      <c r="J123" s="18"/>
      <c r="K123" s="19"/>
      <c r="L123" s="20"/>
    </row>
    <row r="124" spans="1:12" x14ac:dyDescent="0.3">
      <c r="A124" s="12">
        <v>111</v>
      </c>
      <c r="B124" s="13" t="s">
        <v>295</v>
      </c>
      <c r="C124" s="12">
        <v>297</v>
      </c>
      <c r="D124" s="13" t="s">
        <v>320</v>
      </c>
      <c r="E124" s="22" t="s">
        <v>5</v>
      </c>
      <c r="F124" s="15" t="s">
        <v>321</v>
      </c>
      <c r="G124" s="15" t="s">
        <v>266</v>
      </c>
      <c r="H124" s="16" t="str">
        <f>HYPERLINK("https://leetcode.com/problems/serialize-and-deserialize-binary-tree/","Open")</f>
        <v>Open</v>
      </c>
      <c r="I124" s="17"/>
      <c r="J124" s="18"/>
      <c r="K124" s="19"/>
      <c r="L124" s="20"/>
    </row>
    <row r="125" spans="1:12" x14ac:dyDescent="0.3">
      <c r="A125" s="12">
        <v>112</v>
      </c>
      <c r="B125" s="13" t="s">
        <v>295</v>
      </c>
      <c r="C125" s="12">
        <v>968</v>
      </c>
      <c r="D125" s="13" t="s">
        <v>322</v>
      </c>
      <c r="E125" s="22" t="s">
        <v>5</v>
      </c>
      <c r="F125" s="15" t="s">
        <v>323</v>
      </c>
      <c r="G125" s="15" t="s">
        <v>66</v>
      </c>
      <c r="H125" s="16" t="str">
        <f>HYPERLINK("https://leetcode.com/problems/binary-tree-cameras/","Open")</f>
        <v>Open</v>
      </c>
      <c r="I125" s="17"/>
      <c r="J125" s="18"/>
      <c r="K125" s="19"/>
      <c r="L125" s="20"/>
    </row>
    <row r="126" spans="1:12" x14ac:dyDescent="0.3">
      <c r="A126" s="32" t="s">
        <v>324</v>
      </c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</row>
    <row r="127" spans="1:12" x14ac:dyDescent="0.3">
      <c r="A127" s="12">
        <v>113</v>
      </c>
      <c r="B127" s="13" t="s">
        <v>325</v>
      </c>
      <c r="C127" s="12">
        <v>108</v>
      </c>
      <c r="D127" s="13" t="s">
        <v>326</v>
      </c>
      <c r="E127" s="14" t="s">
        <v>3</v>
      </c>
      <c r="F127" s="15" t="s">
        <v>327</v>
      </c>
      <c r="G127" s="15" t="s">
        <v>69</v>
      </c>
      <c r="H127" s="16" t="str">
        <f>HYPERLINK("https://leetcode.com/problems/convert-sorted-array-to-binary-search-tree/","Open")</f>
        <v>Open</v>
      </c>
      <c r="I127" s="17"/>
      <c r="J127" s="18"/>
      <c r="K127" s="19"/>
      <c r="L127" s="20"/>
    </row>
    <row r="128" spans="1:12" x14ac:dyDescent="0.3">
      <c r="A128" s="12">
        <v>114</v>
      </c>
      <c r="B128" s="13" t="s">
        <v>325</v>
      </c>
      <c r="C128" s="12">
        <v>538</v>
      </c>
      <c r="D128" s="13" t="s">
        <v>328</v>
      </c>
      <c r="E128" s="21" t="s">
        <v>4</v>
      </c>
      <c r="F128" s="15" t="s">
        <v>329</v>
      </c>
      <c r="G128" s="15" t="s">
        <v>151</v>
      </c>
      <c r="H128" s="16" t="str">
        <f>HYPERLINK("https://leetcode.com/problems/convert-bst-to-greater-tree/","Open")</f>
        <v>Open</v>
      </c>
      <c r="I128" s="17"/>
      <c r="J128" s="18"/>
      <c r="K128" s="19"/>
      <c r="L128" s="20"/>
    </row>
    <row r="129" spans="1:12" x14ac:dyDescent="0.3">
      <c r="A129" s="12">
        <v>115</v>
      </c>
      <c r="B129" s="13" t="s">
        <v>325</v>
      </c>
      <c r="C129" s="12">
        <v>669</v>
      </c>
      <c r="D129" s="13" t="s">
        <v>330</v>
      </c>
      <c r="E129" s="21" t="s">
        <v>4</v>
      </c>
      <c r="F129" s="15" t="s">
        <v>331</v>
      </c>
      <c r="G129" s="15" t="s">
        <v>60</v>
      </c>
      <c r="H129" s="16" t="str">
        <f>HYPERLINK("https://leetcode.com/problems/trim-a-binary-search-tree/","Open")</f>
        <v>Open</v>
      </c>
      <c r="I129" s="17"/>
      <c r="J129" s="18"/>
      <c r="K129" s="19"/>
      <c r="L129" s="20"/>
    </row>
    <row r="130" spans="1:12" x14ac:dyDescent="0.3">
      <c r="A130" s="12">
        <v>116</v>
      </c>
      <c r="B130" s="13" t="s">
        <v>325</v>
      </c>
      <c r="C130" s="12">
        <v>1008</v>
      </c>
      <c r="D130" s="13" t="s">
        <v>332</v>
      </c>
      <c r="E130" s="21" t="s">
        <v>4</v>
      </c>
      <c r="F130" s="15" t="s">
        <v>333</v>
      </c>
      <c r="G130" s="15" t="s">
        <v>60</v>
      </c>
      <c r="H130" s="16" t="str">
        <f>HYPERLINK("https://leetcode.com/problems/construct-binary-search-tree-from-preorder-traversal/","Open")</f>
        <v>Open</v>
      </c>
      <c r="I130" s="17"/>
      <c r="J130" s="18"/>
      <c r="K130" s="19"/>
      <c r="L130" s="20"/>
    </row>
    <row r="131" spans="1:12" x14ac:dyDescent="0.3">
      <c r="A131" s="12">
        <v>117</v>
      </c>
      <c r="B131" s="13" t="s">
        <v>325</v>
      </c>
      <c r="C131" s="12">
        <v>450</v>
      </c>
      <c r="D131" s="13" t="s">
        <v>334</v>
      </c>
      <c r="E131" s="21" t="s">
        <v>4</v>
      </c>
      <c r="F131" s="15" t="s">
        <v>335</v>
      </c>
      <c r="G131" s="15" t="s">
        <v>69</v>
      </c>
      <c r="H131" s="16" t="str">
        <f>HYPERLINK("https://leetcode.com/problems/delete-node-in-a-bst/","Open")</f>
        <v>Open</v>
      </c>
      <c r="I131" s="17"/>
      <c r="J131" s="18"/>
      <c r="K131" s="19"/>
      <c r="L131" s="20"/>
    </row>
    <row r="132" spans="1:12" x14ac:dyDescent="0.3">
      <c r="A132" s="12">
        <v>118</v>
      </c>
      <c r="B132" s="13" t="s">
        <v>325</v>
      </c>
      <c r="C132" s="12">
        <v>173</v>
      </c>
      <c r="D132" s="13" t="s">
        <v>336</v>
      </c>
      <c r="E132" s="21" t="s">
        <v>4</v>
      </c>
      <c r="F132" s="15" t="s">
        <v>337</v>
      </c>
      <c r="G132" s="15" t="s">
        <v>141</v>
      </c>
      <c r="H132" s="16" t="str">
        <f>HYPERLINK("https://leetcode.com/problems/binary-search-tree-iterator/","Open")</f>
        <v>Open</v>
      </c>
      <c r="I132" s="17"/>
      <c r="J132" s="18"/>
      <c r="K132" s="19"/>
      <c r="L132" s="20"/>
    </row>
    <row r="133" spans="1:12" x14ac:dyDescent="0.3">
      <c r="A133" s="12">
        <v>119</v>
      </c>
      <c r="B133" s="13" t="s">
        <v>325</v>
      </c>
      <c r="C133" s="12">
        <v>96</v>
      </c>
      <c r="D133" s="13" t="s">
        <v>338</v>
      </c>
      <c r="E133" s="21" t="s">
        <v>4</v>
      </c>
      <c r="F133" s="15" t="s">
        <v>339</v>
      </c>
      <c r="G133" s="15" t="s">
        <v>69</v>
      </c>
      <c r="H133" s="16" t="str">
        <f>HYPERLINK("https://leetcode.com/problems/unique-binary-search-trees/","Open")</f>
        <v>Open</v>
      </c>
      <c r="I133" s="17"/>
      <c r="J133" s="18"/>
      <c r="K133" s="19"/>
      <c r="L133" s="20"/>
    </row>
    <row r="134" spans="1:12" x14ac:dyDescent="0.3">
      <c r="A134" s="12">
        <v>120</v>
      </c>
      <c r="B134" s="13" t="s">
        <v>325</v>
      </c>
      <c r="C134" s="12">
        <v>99</v>
      </c>
      <c r="D134" s="13" t="s">
        <v>340</v>
      </c>
      <c r="E134" s="21" t="s">
        <v>4</v>
      </c>
      <c r="F134" s="15" t="s">
        <v>341</v>
      </c>
      <c r="G134" s="15" t="s">
        <v>69</v>
      </c>
      <c r="H134" s="16" t="str">
        <f>HYPERLINK("https://leetcode.com/problems/recover-binary-search-tree/","Open")</f>
        <v>Open</v>
      </c>
      <c r="I134" s="17"/>
      <c r="J134" s="18"/>
      <c r="K134" s="19"/>
      <c r="L134" s="20"/>
    </row>
    <row r="135" spans="1:12" x14ac:dyDescent="0.3">
      <c r="A135" s="32" t="s">
        <v>342</v>
      </c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</row>
    <row r="136" spans="1:12" x14ac:dyDescent="0.3">
      <c r="A136" s="12">
        <v>121</v>
      </c>
      <c r="B136" s="13" t="s">
        <v>343</v>
      </c>
      <c r="C136" s="12">
        <v>973</v>
      </c>
      <c r="D136" s="13" t="s">
        <v>344</v>
      </c>
      <c r="E136" s="21" t="s">
        <v>4</v>
      </c>
      <c r="F136" s="15" t="s">
        <v>345</v>
      </c>
      <c r="G136" s="15" t="s">
        <v>251</v>
      </c>
      <c r="H136" s="16" t="str">
        <f>HYPERLINK("https://leetcode.com/problems/k-closest-points-to-origin/","Open")</f>
        <v>Open</v>
      </c>
      <c r="I136" s="17"/>
      <c r="J136" s="18"/>
      <c r="K136" s="19"/>
      <c r="L136" s="20"/>
    </row>
    <row r="137" spans="1:12" x14ac:dyDescent="0.3">
      <c r="A137" s="12">
        <v>122</v>
      </c>
      <c r="B137" s="13" t="s">
        <v>343</v>
      </c>
      <c r="C137" s="12">
        <v>692</v>
      </c>
      <c r="D137" s="13" t="s">
        <v>346</v>
      </c>
      <c r="E137" s="21" t="s">
        <v>4</v>
      </c>
      <c r="F137" s="15" t="s">
        <v>347</v>
      </c>
      <c r="G137" s="15" t="s">
        <v>78</v>
      </c>
      <c r="H137" s="16" t="str">
        <f>HYPERLINK("https://leetcode.com/problems/top-k-frequent-words/","Open")</f>
        <v>Open</v>
      </c>
      <c r="I137" s="17"/>
      <c r="J137" s="18"/>
      <c r="K137" s="19"/>
      <c r="L137" s="20"/>
    </row>
    <row r="138" spans="1:12" x14ac:dyDescent="0.3">
      <c r="A138" s="12">
        <v>123</v>
      </c>
      <c r="B138" s="13" t="s">
        <v>343</v>
      </c>
      <c r="C138" s="12">
        <v>373</v>
      </c>
      <c r="D138" s="13" t="s">
        <v>348</v>
      </c>
      <c r="E138" s="21" t="s">
        <v>4</v>
      </c>
      <c r="F138" s="15" t="s">
        <v>349</v>
      </c>
      <c r="G138" s="15" t="s">
        <v>60</v>
      </c>
      <c r="H138" s="16" t="str">
        <f>HYPERLINK("https://leetcode.com/problems/find-k-pairs-with-smallest-sums/","Open")</f>
        <v>Open</v>
      </c>
      <c r="I138" s="17"/>
      <c r="J138" s="18"/>
      <c r="K138" s="19"/>
      <c r="L138" s="20"/>
    </row>
    <row r="139" spans="1:12" x14ac:dyDescent="0.3">
      <c r="A139" s="12">
        <v>124</v>
      </c>
      <c r="B139" s="13" t="s">
        <v>343</v>
      </c>
      <c r="C139" s="12">
        <v>264</v>
      </c>
      <c r="D139" s="13" t="s">
        <v>350</v>
      </c>
      <c r="E139" s="21" t="s">
        <v>4</v>
      </c>
      <c r="F139" s="15" t="s">
        <v>351</v>
      </c>
      <c r="G139" s="15" t="s">
        <v>60</v>
      </c>
      <c r="H139" s="16" t="str">
        <f>HYPERLINK("https://leetcode.com/problems/ugly-number-ii/","Open")</f>
        <v>Open</v>
      </c>
      <c r="I139" s="17"/>
      <c r="J139" s="18"/>
      <c r="K139" s="19"/>
      <c r="L139" s="20"/>
    </row>
    <row r="140" spans="1:12" x14ac:dyDescent="0.3">
      <c r="A140" s="12">
        <v>125</v>
      </c>
      <c r="B140" s="13" t="s">
        <v>343</v>
      </c>
      <c r="C140" s="12">
        <v>1642</v>
      </c>
      <c r="D140" s="13" t="s">
        <v>352</v>
      </c>
      <c r="E140" s="21" t="s">
        <v>4</v>
      </c>
      <c r="F140" s="15" t="s">
        <v>353</v>
      </c>
      <c r="G140" s="15" t="s">
        <v>60</v>
      </c>
      <c r="H140" s="16" t="str">
        <f>HYPERLINK("https://leetcode.com/problems/furthest-building-you-can-reach/","Open")</f>
        <v>Open</v>
      </c>
      <c r="I140" s="17"/>
      <c r="J140" s="18"/>
      <c r="K140" s="19"/>
      <c r="L140" s="20"/>
    </row>
    <row r="141" spans="1:12" x14ac:dyDescent="0.3">
      <c r="A141" s="12">
        <v>126</v>
      </c>
      <c r="B141" s="13" t="s">
        <v>343</v>
      </c>
      <c r="C141" s="12">
        <v>1834</v>
      </c>
      <c r="D141" s="13" t="s">
        <v>354</v>
      </c>
      <c r="E141" s="21" t="s">
        <v>4</v>
      </c>
      <c r="F141" s="15" t="s">
        <v>355</v>
      </c>
      <c r="G141" s="15" t="s">
        <v>60</v>
      </c>
      <c r="H141" s="16" t="str">
        <f>HYPERLINK("https://leetcode.com/problems/single-threaded-cpu/","Open")</f>
        <v>Open</v>
      </c>
      <c r="I141" s="17"/>
      <c r="J141" s="18"/>
      <c r="K141" s="19"/>
      <c r="L141" s="20"/>
    </row>
    <row r="142" spans="1:12" x14ac:dyDescent="0.3">
      <c r="A142" s="12">
        <v>127</v>
      </c>
      <c r="B142" s="13" t="s">
        <v>343</v>
      </c>
      <c r="C142" s="12">
        <v>1405</v>
      </c>
      <c r="D142" s="13" t="s">
        <v>356</v>
      </c>
      <c r="E142" s="21" t="s">
        <v>4</v>
      </c>
      <c r="F142" s="15" t="s">
        <v>357</v>
      </c>
      <c r="G142" s="15" t="s">
        <v>60</v>
      </c>
      <c r="H142" s="16" t="str">
        <f>HYPERLINK("https://leetcode.com/problems/longest-happy-string/","Open")</f>
        <v>Open</v>
      </c>
      <c r="I142" s="17"/>
      <c r="J142" s="18"/>
      <c r="K142" s="19"/>
      <c r="L142" s="20"/>
    </row>
    <row r="143" spans="1:12" x14ac:dyDescent="0.3">
      <c r="A143" s="12">
        <v>128</v>
      </c>
      <c r="B143" s="13" t="s">
        <v>343</v>
      </c>
      <c r="C143" s="12">
        <v>2542</v>
      </c>
      <c r="D143" s="13" t="s">
        <v>358</v>
      </c>
      <c r="E143" s="21" t="s">
        <v>4</v>
      </c>
      <c r="F143" s="15" t="s">
        <v>359</v>
      </c>
      <c r="G143" s="15" t="s">
        <v>60</v>
      </c>
      <c r="H143" s="16" t="str">
        <f>HYPERLINK("https://leetcode.com/problems/maximum-subsequence-score/","Open")</f>
        <v>Open</v>
      </c>
      <c r="I143" s="17"/>
      <c r="J143" s="18"/>
      <c r="K143" s="19"/>
      <c r="L143" s="20"/>
    </row>
    <row r="144" spans="1:12" x14ac:dyDescent="0.3">
      <c r="A144" s="12">
        <v>129</v>
      </c>
      <c r="B144" s="13" t="s">
        <v>343</v>
      </c>
      <c r="C144" s="12">
        <v>2402</v>
      </c>
      <c r="D144" s="13" t="s">
        <v>360</v>
      </c>
      <c r="E144" s="22" t="s">
        <v>5</v>
      </c>
      <c r="F144" s="15" t="s">
        <v>361</v>
      </c>
      <c r="G144" s="15" t="s">
        <v>172</v>
      </c>
      <c r="H144" s="16" t="str">
        <f>HYPERLINK("https://leetcode.com/problems/meeting-rooms-iii/","Open")</f>
        <v>Open</v>
      </c>
      <c r="I144" s="17"/>
      <c r="J144" s="18"/>
      <c r="K144" s="19"/>
      <c r="L144" s="20"/>
    </row>
    <row r="145" spans="1:12" x14ac:dyDescent="0.3">
      <c r="A145" s="12">
        <v>130</v>
      </c>
      <c r="B145" s="13" t="s">
        <v>343</v>
      </c>
      <c r="C145" s="12">
        <v>502</v>
      </c>
      <c r="D145" s="13" t="s">
        <v>362</v>
      </c>
      <c r="E145" s="22" t="s">
        <v>5</v>
      </c>
      <c r="F145" s="15" t="s">
        <v>363</v>
      </c>
      <c r="G145" s="15" t="s">
        <v>60</v>
      </c>
      <c r="H145" s="16" t="str">
        <f>HYPERLINK("https://leetcode.com/problems/ipo/","Open")</f>
        <v>Open</v>
      </c>
      <c r="I145" s="17"/>
      <c r="J145" s="18"/>
      <c r="K145" s="19"/>
      <c r="L145" s="20"/>
    </row>
    <row r="146" spans="1:12" x14ac:dyDescent="0.3">
      <c r="A146" s="12">
        <v>131</v>
      </c>
      <c r="B146" s="13" t="s">
        <v>343</v>
      </c>
      <c r="C146" s="12">
        <v>630</v>
      </c>
      <c r="D146" s="13" t="s">
        <v>364</v>
      </c>
      <c r="E146" s="22" t="s">
        <v>5</v>
      </c>
      <c r="F146" s="15" t="s">
        <v>365</v>
      </c>
      <c r="G146" s="15" t="s">
        <v>60</v>
      </c>
      <c r="H146" s="16" t="str">
        <f>HYPERLINK("https://leetcode.com/problems/course-schedule-iii/","Open")</f>
        <v>Open</v>
      </c>
      <c r="I146" s="17"/>
      <c r="J146" s="18"/>
      <c r="K146" s="19"/>
      <c r="L146" s="20"/>
    </row>
    <row r="147" spans="1:12" x14ac:dyDescent="0.3">
      <c r="A147" s="12">
        <v>132</v>
      </c>
      <c r="B147" s="13" t="s">
        <v>343</v>
      </c>
      <c r="C147" s="12">
        <v>295</v>
      </c>
      <c r="D147" s="13" t="s">
        <v>366</v>
      </c>
      <c r="E147" s="22" t="s">
        <v>5</v>
      </c>
      <c r="F147" s="15" t="s">
        <v>367</v>
      </c>
      <c r="G147" s="15" t="s">
        <v>266</v>
      </c>
      <c r="H147" s="16" t="str">
        <f>HYPERLINK("https://leetcode.com/problems/find-median-from-data-stream/","Open")</f>
        <v>Open</v>
      </c>
      <c r="I147" s="17"/>
      <c r="J147" s="18"/>
      <c r="K147" s="19"/>
      <c r="L147" s="20"/>
    </row>
    <row r="148" spans="1:12" x14ac:dyDescent="0.3">
      <c r="A148" s="32" t="s">
        <v>368</v>
      </c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</row>
    <row r="149" spans="1:12" x14ac:dyDescent="0.3">
      <c r="A149" s="12">
        <v>133</v>
      </c>
      <c r="B149" s="13" t="s">
        <v>369</v>
      </c>
      <c r="C149" s="12">
        <v>208</v>
      </c>
      <c r="D149" s="13" t="s">
        <v>370</v>
      </c>
      <c r="E149" s="21" t="s">
        <v>4</v>
      </c>
      <c r="F149" s="15" t="s">
        <v>371</v>
      </c>
      <c r="G149" s="15" t="s">
        <v>75</v>
      </c>
      <c r="H149" s="16" t="str">
        <f>HYPERLINK("https://leetcode.com/problems/implement-trie-prefix-tree/","Open")</f>
        <v>Open</v>
      </c>
      <c r="I149" s="17"/>
      <c r="J149" s="18"/>
      <c r="K149" s="19"/>
      <c r="L149" s="20"/>
    </row>
    <row r="150" spans="1:12" x14ac:dyDescent="0.3">
      <c r="A150" s="12">
        <v>134</v>
      </c>
      <c r="B150" s="13" t="s">
        <v>369</v>
      </c>
      <c r="C150" s="12">
        <v>211</v>
      </c>
      <c r="D150" s="13" t="s">
        <v>372</v>
      </c>
      <c r="E150" s="21" t="s">
        <v>4</v>
      </c>
      <c r="F150" s="15" t="s">
        <v>373</v>
      </c>
      <c r="G150" s="15" t="s">
        <v>251</v>
      </c>
      <c r="H150" s="16" t="str">
        <f>HYPERLINK("https://leetcode.com/problems/design-add-and-search-words-data-structure/","Open")</f>
        <v>Open</v>
      </c>
      <c r="I150" s="17"/>
      <c r="J150" s="18"/>
      <c r="K150" s="19"/>
      <c r="L150" s="20"/>
    </row>
    <row r="151" spans="1:12" x14ac:dyDescent="0.3">
      <c r="A151" s="12">
        <v>135</v>
      </c>
      <c r="B151" s="13" t="s">
        <v>369</v>
      </c>
      <c r="C151" s="12">
        <v>648</v>
      </c>
      <c r="D151" s="13" t="s">
        <v>374</v>
      </c>
      <c r="E151" s="21" t="s">
        <v>4</v>
      </c>
      <c r="F151" s="15" t="s">
        <v>375</v>
      </c>
      <c r="G151" s="15" t="s">
        <v>128</v>
      </c>
      <c r="H151" s="16" t="str">
        <f>HYPERLINK("https://leetcode.com/problems/replace-words/","Open")</f>
        <v>Open</v>
      </c>
      <c r="I151" s="17"/>
      <c r="J151" s="18"/>
      <c r="K151" s="19"/>
      <c r="L151" s="20"/>
    </row>
    <row r="152" spans="1:12" x14ac:dyDescent="0.3">
      <c r="A152" s="12">
        <v>136</v>
      </c>
      <c r="B152" s="13" t="s">
        <v>369</v>
      </c>
      <c r="C152" s="12">
        <v>1268</v>
      </c>
      <c r="D152" s="13" t="s">
        <v>376</v>
      </c>
      <c r="E152" s="21" t="s">
        <v>4</v>
      </c>
      <c r="F152" s="15" t="s">
        <v>377</v>
      </c>
      <c r="G152" s="15" t="s">
        <v>151</v>
      </c>
      <c r="H152" s="16" t="str">
        <f>HYPERLINK("https://leetcode.com/problems/search-suggestions-system/","Open")</f>
        <v>Open</v>
      </c>
      <c r="I152" s="17"/>
      <c r="J152" s="18"/>
      <c r="K152" s="19"/>
      <c r="L152" s="20"/>
    </row>
    <row r="153" spans="1:12" x14ac:dyDescent="0.3">
      <c r="A153" s="12">
        <v>137</v>
      </c>
      <c r="B153" s="13" t="s">
        <v>369</v>
      </c>
      <c r="C153" s="12">
        <v>421</v>
      </c>
      <c r="D153" s="13" t="s">
        <v>378</v>
      </c>
      <c r="E153" s="21" t="s">
        <v>4</v>
      </c>
      <c r="F153" s="15" t="s">
        <v>379</v>
      </c>
      <c r="G153" s="15" t="s">
        <v>60</v>
      </c>
      <c r="H153" s="16" t="str">
        <f>HYPERLINK("https://leetcode.com/problems/maximum-xor-of-two-numbers-in-an-array/","Open")</f>
        <v>Open</v>
      </c>
      <c r="I153" s="17"/>
      <c r="J153" s="18"/>
      <c r="K153" s="19"/>
      <c r="L153" s="20"/>
    </row>
    <row r="154" spans="1:12" x14ac:dyDescent="0.3">
      <c r="A154" s="12">
        <v>138</v>
      </c>
      <c r="B154" s="13" t="s">
        <v>369</v>
      </c>
      <c r="C154" s="12">
        <v>212</v>
      </c>
      <c r="D154" s="13" t="s">
        <v>380</v>
      </c>
      <c r="E154" s="22" t="s">
        <v>5</v>
      </c>
      <c r="F154" s="15" t="s">
        <v>381</v>
      </c>
      <c r="G154" s="15" t="s">
        <v>172</v>
      </c>
      <c r="H154" s="16" t="str">
        <f>HYPERLINK("https://leetcode.com/problems/word-search-ii/","Open")</f>
        <v>Open</v>
      </c>
      <c r="I154" s="17"/>
      <c r="J154" s="18"/>
      <c r="K154" s="19"/>
      <c r="L154" s="20"/>
    </row>
    <row r="155" spans="1:12" x14ac:dyDescent="0.3">
      <c r="A155" s="32" t="s">
        <v>382</v>
      </c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</row>
    <row r="156" spans="1:12" x14ac:dyDescent="0.3">
      <c r="A156" s="12">
        <v>139</v>
      </c>
      <c r="B156" s="13" t="s">
        <v>383</v>
      </c>
      <c r="C156" s="12">
        <v>22</v>
      </c>
      <c r="D156" s="13" t="s">
        <v>384</v>
      </c>
      <c r="E156" s="21" t="s">
        <v>4</v>
      </c>
      <c r="F156" s="15" t="s">
        <v>385</v>
      </c>
      <c r="G156" s="15" t="s">
        <v>386</v>
      </c>
      <c r="H156" s="16" t="str">
        <f>HYPERLINK("https://leetcode.com/problems/generate-parentheses/","Open")</f>
        <v>Open</v>
      </c>
      <c r="I156" s="17"/>
      <c r="J156" s="18"/>
      <c r="K156" s="19"/>
      <c r="L156" s="20"/>
    </row>
    <row r="157" spans="1:12" x14ac:dyDescent="0.3">
      <c r="A157" s="12">
        <v>140</v>
      </c>
      <c r="B157" s="13" t="s">
        <v>383</v>
      </c>
      <c r="C157" s="12">
        <v>784</v>
      </c>
      <c r="D157" s="13" t="s">
        <v>387</v>
      </c>
      <c r="E157" s="21" t="s">
        <v>4</v>
      </c>
      <c r="F157" s="15" t="s">
        <v>388</v>
      </c>
      <c r="G157" s="15" t="s">
        <v>69</v>
      </c>
      <c r="H157" s="16" t="str">
        <f>HYPERLINK("https://leetcode.com/problems/letter-case-permutation/","Open")</f>
        <v>Open</v>
      </c>
      <c r="I157" s="17"/>
      <c r="J157" s="18"/>
      <c r="K157" s="19"/>
      <c r="L157" s="20"/>
    </row>
    <row r="158" spans="1:12" x14ac:dyDescent="0.3">
      <c r="A158" s="12">
        <v>141</v>
      </c>
      <c r="B158" s="13" t="s">
        <v>383</v>
      </c>
      <c r="C158" s="12">
        <v>93</v>
      </c>
      <c r="D158" s="13" t="s">
        <v>389</v>
      </c>
      <c r="E158" s="21" t="s">
        <v>4</v>
      </c>
      <c r="F158" s="15" t="s">
        <v>390</v>
      </c>
      <c r="G158" s="15" t="s">
        <v>69</v>
      </c>
      <c r="H158" s="16" t="str">
        <f>HYPERLINK("https://leetcode.com/problems/restore-ip-addresses/","Open")</f>
        <v>Open</v>
      </c>
      <c r="I158" s="17"/>
      <c r="J158" s="18"/>
      <c r="K158" s="19"/>
      <c r="L158" s="20"/>
    </row>
    <row r="159" spans="1:12" x14ac:dyDescent="0.3">
      <c r="A159" s="12">
        <v>142</v>
      </c>
      <c r="B159" s="13" t="s">
        <v>383</v>
      </c>
      <c r="C159" s="12">
        <v>491</v>
      </c>
      <c r="D159" s="13" t="s">
        <v>391</v>
      </c>
      <c r="E159" s="21" t="s">
        <v>4</v>
      </c>
      <c r="F159" s="15" t="s">
        <v>392</v>
      </c>
      <c r="G159" s="15" t="s">
        <v>60</v>
      </c>
      <c r="H159" s="16" t="str">
        <f>HYPERLINK("https://leetcode.com/problems/non-decreasing-subsequences/","Open")</f>
        <v>Open</v>
      </c>
      <c r="I159" s="17"/>
      <c r="J159" s="18"/>
      <c r="K159" s="19"/>
      <c r="L159" s="20"/>
    </row>
    <row r="160" spans="1:12" x14ac:dyDescent="0.3">
      <c r="A160" s="12">
        <v>143</v>
      </c>
      <c r="B160" s="13" t="s">
        <v>383</v>
      </c>
      <c r="C160" s="12">
        <v>1219</v>
      </c>
      <c r="D160" s="13" t="s">
        <v>393</v>
      </c>
      <c r="E160" s="21" t="s">
        <v>4</v>
      </c>
      <c r="F160" s="15" t="s">
        <v>394</v>
      </c>
      <c r="G160" s="15" t="s">
        <v>60</v>
      </c>
      <c r="H160" s="16" t="str">
        <f>HYPERLINK("https://leetcode.com/problems/path-with-maximum-gold/","Open")</f>
        <v>Open</v>
      </c>
      <c r="I160" s="17"/>
      <c r="J160" s="18"/>
      <c r="K160" s="19"/>
      <c r="L160" s="20"/>
    </row>
    <row r="161" spans="1:12" x14ac:dyDescent="0.3">
      <c r="A161" s="12">
        <v>144</v>
      </c>
      <c r="B161" s="13" t="s">
        <v>383</v>
      </c>
      <c r="C161" s="12">
        <v>473</v>
      </c>
      <c r="D161" s="13" t="s">
        <v>395</v>
      </c>
      <c r="E161" s="21" t="s">
        <v>4</v>
      </c>
      <c r="F161" s="15" t="s">
        <v>396</v>
      </c>
      <c r="G161" s="15" t="s">
        <v>60</v>
      </c>
      <c r="H161" s="16" t="str">
        <f>HYPERLINK("https://leetcode.com/problems/matchsticks-to-square/","Open")</f>
        <v>Open</v>
      </c>
      <c r="I161" s="17"/>
      <c r="J161" s="18"/>
      <c r="K161" s="19"/>
      <c r="L161" s="20"/>
    </row>
    <row r="162" spans="1:12" x14ac:dyDescent="0.3">
      <c r="A162" s="12">
        <v>145</v>
      </c>
      <c r="B162" s="13" t="s">
        <v>383</v>
      </c>
      <c r="C162" s="12">
        <v>698</v>
      </c>
      <c r="D162" s="13" t="s">
        <v>397</v>
      </c>
      <c r="E162" s="21" t="s">
        <v>4</v>
      </c>
      <c r="F162" s="15" t="s">
        <v>398</v>
      </c>
      <c r="G162" s="15" t="s">
        <v>75</v>
      </c>
      <c r="H162" s="16" t="str">
        <f>HYPERLINK("https://leetcode.com/problems/partition-to-k-equal-sum-subsets/","Open")</f>
        <v>Open</v>
      </c>
      <c r="I162" s="17"/>
      <c r="J162" s="18"/>
      <c r="K162" s="19"/>
      <c r="L162" s="20"/>
    </row>
    <row r="163" spans="1:12" x14ac:dyDescent="0.3">
      <c r="A163" s="12">
        <v>146</v>
      </c>
      <c r="B163" s="13" t="s">
        <v>383</v>
      </c>
      <c r="C163" s="12">
        <v>52</v>
      </c>
      <c r="D163" s="13" t="s">
        <v>399</v>
      </c>
      <c r="E163" s="22" t="s">
        <v>5</v>
      </c>
      <c r="F163" s="15" t="s">
        <v>400</v>
      </c>
      <c r="G163" s="15" t="s">
        <v>69</v>
      </c>
      <c r="H163" s="16" t="str">
        <f>HYPERLINK("https://leetcode.com/problems/n-queens-ii/","Open")</f>
        <v>Open</v>
      </c>
      <c r="I163" s="17"/>
      <c r="J163" s="18"/>
      <c r="K163" s="19"/>
      <c r="L163" s="20"/>
    </row>
    <row r="164" spans="1:12" x14ac:dyDescent="0.3">
      <c r="A164" s="12">
        <v>147</v>
      </c>
      <c r="B164" s="13" t="s">
        <v>383</v>
      </c>
      <c r="C164" s="12">
        <v>37</v>
      </c>
      <c r="D164" s="13" t="s">
        <v>401</v>
      </c>
      <c r="E164" s="22" t="s">
        <v>5</v>
      </c>
      <c r="F164" s="15" t="s">
        <v>402</v>
      </c>
      <c r="G164" s="15" t="s">
        <v>78</v>
      </c>
      <c r="H164" s="16" t="str">
        <f>HYPERLINK("https://leetcode.com/problems/sudoku-solver/","Open")</f>
        <v>Open</v>
      </c>
      <c r="I164" s="17"/>
      <c r="J164" s="18"/>
      <c r="K164" s="19"/>
      <c r="L164" s="20"/>
    </row>
    <row r="165" spans="1:12" x14ac:dyDescent="0.3">
      <c r="A165" s="12">
        <v>148</v>
      </c>
      <c r="B165" s="13" t="s">
        <v>383</v>
      </c>
      <c r="C165" s="12">
        <v>301</v>
      </c>
      <c r="D165" s="13" t="s">
        <v>403</v>
      </c>
      <c r="E165" s="22" t="s">
        <v>5</v>
      </c>
      <c r="F165" s="15" t="s">
        <v>404</v>
      </c>
      <c r="G165" s="15" t="s">
        <v>405</v>
      </c>
      <c r="H165" s="16" t="str">
        <f>HYPERLINK("https://leetcode.com/problems/remove-invalid-parentheses/","Open")</f>
        <v>Open</v>
      </c>
      <c r="I165" s="17"/>
      <c r="J165" s="18"/>
      <c r="K165" s="19"/>
      <c r="L165" s="20"/>
    </row>
    <row r="166" spans="1:12" x14ac:dyDescent="0.3">
      <c r="A166" s="32" t="s">
        <v>406</v>
      </c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</row>
    <row r="167" spans="1:12" x14ac:dyDescent="0.3">
      <c r="A167" s="12">
        <v>149</v>
      </c>
      <c r="B167" s="13" t="s">
        <v>407</v>
      </c>
      <c r="C167" s="12">
        <v>733</v>
      </c>
      <c r="D167" s="13" t="s">
        <v>408</v>
      </c>
      <c r="E167" s="14" t="s">
        <v>3</v>
      </c>
      <c r="F167" s="15" t="s">
        <v>409</v>
      </c>
      <c r="G167" s="15" t="s">
        <v>69</v>
      </c>
      <c r="H167" s="16" t="str">
        <f>HYPERLINK("https://leetcode.com/problems/flood-fill/","Open")</f>
        <v>Open</v>
      </c>
      <c r="I167" s="17"/>
      <c r="J167" s="18"/>
      <c r="K167" s="19"/>
      <c r="L167" s="20"/>
    </row>
    <row r="168" spans="1:12" x14ac:dyDescent="0.3">
      <c r="A168" s="12">
        <v>150</v>
      </c>
      <c r="B168" s="13" t="s">
        <v>407</v>
      </c>
      <c r="C168" s="12">
        <v>200</v>
      </c>
      <c r="D168" s="13" t="s">
        <v>410</v>
      </c>
      <c r="E168" s="21" t="s">
        <v>4</v>
      </c>
      <c r="F168" s="15" t="s">
        <v>411</v>
      </c>
      <c r="G168" s="15" t="s">
        <v>266</v>
      </c>
      <c r="H168" s="16" t="str">
        <f>HYPERLINK("https://leetcode.com/problems/number-of-islands/","Open")</f>
        <v>Open</v>
      </c>
      <c r="I168" s="17"/>
      <c r="J168" s="18"/>
      <c r="K168" s="19"/>
      <c r="L168" s="20"/>
    </row>
    <row r="169" spans="1:12" x14ac:dyDescent="0.3">
      <c r="A169" s="12">
        <v>151</v>
      </c>
      <c r="B169" s="13" t="s">
        <v>407</v>
      </c>
      <c r="C169" s="12">
        <v>695</v>
      </c>
      <c r="D169" s="13" t="s">
        <v>412</v>
      </c>
      <c r="E169" s="21" t="s">
        <v>4</v>
      </c>
      <c r="F169" s="15" t="s">
        <v>413</v>
      </c>
      <c r="G169" s="15" t="s">
        <v>60</v>
      </c>
      <c r="H169" s="16" t="str">
        <f>HYPERLINK("https://leetcode.com/problems/max-area-of-island/","Open")</f>
        <v>Open</v>
      </c>
      <c r="I169" s="17"/>
      <c r="J169" s="18"/>
      <c r="K169" s="19"/>
      <c r="L169" s="20"/>
    </row>
    <row r="170" spans="1:12" x14ac:dyDescent="0.3">
      <c r="A170" s="12">
        <v>152</v>
      </c>
      <c r="B170" s="13" t="s">
        <v>407</v>
      </c>
      <c r="C170" s="12">
        <v>130</v>
      </c>
      <c r="D170" s="13" t="s">
        <v>414</v>
      </c>
      <c r="E170" s="21" t="s">
        <v>4</v>
      </c>
      <c r="F170" s="15" t="s">
        <v>415</v>
      </c>
      <c r="G170" s="15" t="s">
        <v>60</v>
      </c>
      <c r="H170" s="16" t="str">
        <f>HYPERLINK("https://leetcode.com/problems/surrounded-regions/","Open")</f>
        <v>Open</v>
      </c>
      <c r="I170" s="17"/>
      <c r="J170" s="18"/>
      <c r="K170" s="19"/>
      <c r="L170" s="20"/>
    </row>
    <row r="171" spans="1:12" x14ac:dyDescent="0.3">
      <c r="A171" s="12">
        <v>153</v>
      </c>
      <c r="B171" s="13" t="s">
        <v>407</v>
      </c>
      <c r="C171" s="12">
        <v>417</v>
      </c>
      <c r="D171" s="13" t="s">
        <v>416</v>
      </c>
      <c r="E171" s="21" t="s">
        <v>4</v>
      </c>
      <c r="F171" s="15" t="s">
        <v>417</v>
      </c>
      <c r="G171" s="15" t="s">
        <v>60</v>
      </c>
      <c r="H171" s="16" t="str">
        <f>HYPERLINK("https://leetcode.com/problems/pacific-atlantic-water-flow/","Open")</f>
        <v>Open</v>
      </c>
      <c r="I171" s="17"/>
      <c r="J171" s="18"/>
      <c r="K171" s="19"/>
      <c r="L171" s="20"/>
    </row>
    <row r="172" spans="1:12" x14ac:dyDescent="0.3">
      <c r="A172" s="12">
        <v>154</v>
      </c>
      <c r="B172" s="13" t="s">
        <v>407</v>
      </c>
      <c r="C172" s="12">
        <v>547</v>
      </c>
      <c r="D172" s="13" t="s">
        <v>418</v>
      </c>
      <c r="E172" s="21" t="s">
        <v>4</v>
      </c>
      <c r="F172" s="15" t="s">
        <v>419</v>
      </c>
      <c r="G172" s="15" t="s">
        <v>138</v>
      </c>
      <c r="H172" s="16" t="str">
        <f>HYPERLINK("https://leetcode.com/problems/number-of-provinces/","Open")</f>
        <v>Open</v>
      </c>
      <c r="I172" s="17"/>
      <c r="J172" s="18"/>
      <c r="K172" s="19"/>
      <c r="L172" s="20"/>
    </row>
    <row r="173" spans="1:12" x14ac:dyDescent="0.3">
      <c r="A173" s="12">
        <v>155</v>
      </c>
      <c r="B173" s="13" t="s">
        <v>407</v>
      </c>
      <c r="C173" s="12">
        <v>841</v>
      </c>
      <c r="D173" s="13" t="s">
        <v>420</v>
      </c>
      <c r="E173" s="21" t="s">
        <v>4</v>
      </c>
      <c r="F173" s="15" t="s">
        <v>421</v>
      </c>
      <c r="G173" s="15" t="s">
        <v>60</v>
      </c>
      <c r="H173" s="16" t="str">
        <f>HYPERLINK("https://leetcode.com/problems/keys-and-rooms/","Open")</f>
        <v>Open</v>
      </c>
      <c r="I173" s="17"/>
      <c r="J173" s="18"/>
      <c r="K173" s="19"/>
      <c r="L173" s="20"/>
    </row>
    <row r="174" spans="1:12" x14ac:dyDescent="0.3">
      <c r="A174" s="12">
        <v>156</v>
      </c>
      <c r="B174" s="13" t="s">
        <v>407</v>
      </c>
      <c r="C174" s="12">
        <v>785</v>
      </c>
      <c r="D174" s="13" t="s">
        <v>422</v>
      </c>
      <c r="E174" s="21" t="s">
        <v>4</v>
      </c>
      <c r="F174" s="15" t="s">
        <v>423</v>
      </c>
      <c r="G174" s="15" t="s">
        <v>138</v>
      </c>
      <c r="H174" s="16" t="str">
        <f>HYPERLINK("https://leetcode.com/problems/is-graph-bipartite/","Open")</f>
        <v>Open</v>
      </c>
      <c r="I174" s="17"/>
      <c r="J174" s="18"/>
      <c r="K174" s="19"/>
      <c r="L174" s="20"/>
    </row>
    <row r="175" spans="1:12" x14ac:dyDescent="0.3">
      <c r="A175" s="12">
        <v>157</v>
      </c>
      <c r="B175" s="13" t="s">
        <v>407</v>
      </c>
      <c r="C175" s="12">
        <v>1466</v>
      </c>
      <c r="D175" s="13" t="s">
        <v>424</v>
      </c>
      <c r="E175" s="21" t="s">
        <v>4</v>
      </c>
      <c r="F175" s="15" t="s">
        <v>425</v>
      </c>
      <c r="G175" s="15" t="s">
        <v>151</v>
      </c>
      <c r="H175" s="16" t="str">
        <f>HYPERLINK("https://leetcode.com/problems/reorder-routes-to-make-all-paths-lead-to-the-city-zero/","Open")</f>
        <v>Open</v>
      </c>
      <c r="I175" s="17"/>
      <c r="J175" s="18"/>
      <c r="K175" s="19"/>
      <c r="L175" s="20"/>
    </row>
    <row r="176" spans="1:12" x14ac:dyDescent="0.3">
      <c r="A176" s="12">
        <v>158</v>
      </c>
      <c r="B176" s="13" t="s">
        <v>407</v>
      </c>
      <c r="C176" s="12">
        <v>542</v>
      </c>
      <c r="D176" s="13" t="s">
        <v>426</v>
      </c>
      <c r="E176" s="21" t="s">
        <v>4</v>
      </c>
      <c r="F176" s="15" t="s">
        <v>427</v>
      </c>
      <c r="G176" s="15" t="s">
        <v>60</v>
      </c>
      <c r="H176" s="16" t="str">
        <f>HYPERLINK("https://leetcode.com/problems/01-matrix/","Open")</f>
        <v>Open</v>
      </c>
      <c r="I176" s="17"/>
      <c r="J176" s="18"/>
      <c r="K176" s="19"/>
      <c r="L176" s="20"/>
    </row>
    <row r="177" spans="1:12" x14ac:dyDescent="0.3">
      <c r="A177" s="12">
        <v>159</v>
      </c>
      <c r="B177" s="13" t="s">
        <v>407</v>
      </c>
      <c r="C177" s="12">
        <v>1091</v>
      </c>
      <c r="D177" s="13" t="s">
        <v>428</v>
      </c>
      <c r="E177" s="21" t="s">
        <v>4</v>
      </c>
      <c r="F177" s="15" t="s">
        <v>429</v>
      </c>
      <c r="G177" s="15" t="s">
        <v>138</v>
      </c>
      <c r="H177" s="16" t="str">
        <f>HYPERLINK("https://leetcode.com/problems/shortest-path-in-binary-matrix/","Open")</f>
        <v>Open</v>
      </c>
      <c r="I177" s="17"/>
      <c r="J177" s="18"/>
      <c r="K177" s="19"/>
      <c r="L177" s="20"/>
    </row>
    <row r="178" spans="1:12" x14ac:dyDescent="0.3">
      <c r="A178" s="12">
        <v>160</v>
      </c>
      <c r="B178" s="13" t="s">
        <v>407</v>
      </c>
      <c r="C178" s="12">
        <v>752</v>
      </c>
      <c r="D178" s="13" t="s">
        <v>430</v>
      </c>
      <c r="E178" s="21" t="s">
        <v>4</v>
      </c>
      <c r="F178" s="15" t="s">
        <v>431</v>
      </c>
      <c r="G178" s="15" t="s">
        <v>60</v>
      </c>
      <c r="H178" s="16" t="str">
        <f>HYPERLINK("https://leetcode.com/problems/open-the-lock/","Open")</f>
        <v>Open</v>
      </c>
      <c r="I178" s="17"/>
      <c r="J178" s="18"/>
      <c r="K178" s="19"/>
      <c r="L178" s="20"/>
    </row>
    <row r="179" spans="1:12" x14ac:dyDescent="0.3">
      <c r="A179" s="12">
        <v>161</v>
      </c>
      <c r="B179" s="13" t="s">
        <v>407</v>
      </c>
      <c r="C179" s="12">
        <v>934</v>
      </c>
      <c r="D179" s="13" t="s">
        <v>432</v>
      </c>
      <c r="E179" s="21" t="s">
        <v>4</v>
      </c>
      <c r="F179" s="15" t="s">
        <v>433</v>
      </c>
      <c r="G179" s="15" t="s">
        <v>60</v>
      </c>
      <c r="H179" s="16" t="str">
        <f>HYPERLINK("https://leetcode.com/problems/shortest-bridge/","Open")</f>
        <v>Open</v>
      </c>
      <c r="I179" s="17"/>
      <c r="J179" s="18"/>
      <c r="K179" s="19"/>
      <c r="L179" s="20"/>
    </row>
    <row r="180" spans="1:12" x14ac:dyDescent="0.3">
      <c r="A180" s="12">
        <v>162</v>
      </c>
      <c r="B180" s="13" t="s">
        <v>407</v>
      </c>
      <c r="C180" s="12">
        <v>127</v>
      </c>
      <c r="D180" s="13" t="s">
        <v>434</v>
      </c>
      <c r="E180" s="22" t="s">
        <v>5</v>
      </c>
      <c r="F180" s="15" t="s">
        <v>435</v>
      </c>
      <c r="G180" s="15" t="s">
        <v>172</v>
      </c>
      <c r="H180" s="16" t="str">
        <f>HYPERLINK("https://leetcode.com/problems/word-ladder/","Open")</f>
        <v>Open</v>
      </c>
      <c r="I180" s="17"/>
      <c r="J180" s="18"/>
      <c r="K180" s="19"/>
      <c r="L180" s="20"/>
    </row>
    <row r="181" spans="1:12" x14ac:dyDescent="0.3">
      <c r="A181" s="32" t="s">
        <v>436</v>
      </c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</row>
    <row r="182" spans="1:12" x14ac:dyDescent="0.3">
      <c r="A182" s="12">
        <v>163</v>
      </c>
      <c r="B182" s="13" t="s">
        <v>437</v>
      </c>
      <c r="C182" s="12">
        <v>207</v>
      </c>
      <c r="D182" s="13" t="s">
        <v>438</v>
      </c>
      <c r="E182" s="21" t="s">
        <v>4</v>
      </c>
      <c r="F182" s="15" t="s">
        <v>439</v>
      </c>
      <c r="G182" s="15" t="s">
        <v>266</v>
      </c>
      <c r="H182" s="16" t="str">
        <f>HYPERLINK("https://leetcode.com/problems/course-schedule/","Open")</f>
        <v>Open</v>
      </c>
      <c r="I182" s="17"/>
      <c r="J182" s="18"/>
      <c r="K182" s="19"/>
      <c r="L182" s="20"/>
    </row>
    <row r="183" spans="1:12" x14ac:dyDescent="0.3">
      <c r="A183" s="12">
        <v>164</v>
      </c>
      <c r="B183" s="13" t="s">
        <v>437</v>
      </c>
      <c r="C183" s="12">
        <v>210</v>
      </c>
      <c r="D183" s="13" t="s">
        <v>440</v>
      </c>
      <c r="E183" s="21" t="s">
        <v>4</v>
      </c>
      <c r="F183" s="15" t="s">
        <v>441</v>
      </c>
      <c r="G183" s="15" t="s">
        <v>172</v>
      </c>
      <c r="H183" s="16" t="str">
        <f>HYPERLINK("https://leetcode.com/problems/course-schedule-ii/","Open")</f>
        <v>Open</v>
      </c>
      <c r="I183" s="17"/>
      <c r="J183" s="18"/>
      <c r="K183" s="19"/>
      <c r="L183" s="20"/>
    </row>
    <row r="184" spans="1:12" x14ac:dyDescent="0.3">
      <c r="A184" s="12">
        <v>165</v>
      </c>
      <c r="B184" s="13" t="s">
        <v>437</v>
      </c>
      <c r="C184" s="12">
        <v>802</v>
      </c>
      <c r="D184" s="13" t="s">
        <v>442</v>
      </c>
      <c r="E184" s="21" t="s">
        <v>4</v>
      </c>
      <c r="F184" s="15" t="s">
        <v>443</v>
      </c>
      <c r="G184" s="15" t="s">
        <v>60</v>
      </c>
      <c r="H184" s="16" t="str">
        <f>HYPERLINK("https://leetcode.com/problems/find-eventual-safe-states/","Open")</f>
        <v>Open</v>
      </c>
      <c r="I184" s="17"/>
      <c r="J184" s="18"/>
      <c r="K184" s="19"/>
      <c r="L184" s="20"/>
    </row>
    <row r="185" spans="1:12" x14ac:dyDescent="0.3">
      <c r="A185" s="12">
        <v>166</v>
      </c>
      <c r="B185" s="13" t="s">
        <v>437</v>
      </c>
      <c r="C185" s="12">
        <v>310</v>
      </c>
      <c r="D185" s="13" t="s">
        <v>444</v>
      </c>
      <c r="E185" s="21" t="s">
        <v>4</v>
      </c>
      <c r="F185" s="15" t="s">
        <v>445</v>
      </c>
      <c r="G185" s="15" t="s">
        <v>60</v>
      </c>
      <c r="H185" s="16" t="str">
        <f>HYPERLINK("https://leetcode.com/problems/minimum-height-trees/","Open")</f>
        <v>Open</v>
      </c>
      <c r="I185" s="17"/>
      <c r="J185" s="18"/>
      <c r="K185" s="19"/>
      <c r="L185" s="20"/>
    </row>
    <row r="186" spans="1:12" x14ac:dyDescent="0.3">
      <c r="A186" s="12">
        <v>167</v>
      </c>
      <c r="B186" s="13" t="s">
        <v>437</v>
      </c>
      <c r="C186" s="12">
        <v>684</v>
      </c>
      <c r="D186" s="13" t="s">
        <v>446</v>
      </c>
      <c r="E186" s="21" t="s">
        <v>4</v>
      </c>
      <c r="F186" s="15" t="s">
        <v>447</v>
      </c>
      <c r="G186" s="15" t="s">
        <v>60</v>
      </c>
      <c r="H186" s="16" t="str">
        <f>HYPERLINK("https://leetcode.com/problems/redundant-connection/","Open")</f>
        <v>Open</v>
      </c>
      <c r="I186" s="17"/>
      <c r="J186" s="18"/>
      <c r="K186" s="19"/>
      <c r="L186" s="20"/>
    </row>
    <row r="187" spans="1:12" x14ac:dyDescent="0.3">
      <c r="A187" s="12">
        <v>168</v>
      </c>
      <c r="B187" s="13" t="s">
        <v>437</v>
      </c>
      <c r="C187" s="12">
        <v>721</v>
      </c>
      <c r="D187" s="13" t="s">
        <v>448</v>
      </c>
      <c r="E187" s="21" t="s">
        <v>4</v>
      </c>
      <c r="F187" s="15" t="s">
        <v>449</v>
      </c>
      <c r="G187" s="15" t="s">
        <v>405</v>
      </c>
      <c r="H187" s="16" t="str">
        <f>HYPERLINK("https://leetcode.com/problems/accounts-merge/","Open")</f>
        <v>Open</v>
      </c>
      <c r="I187" s="17"/>
      <c r="J187" s="18"/>
      <c r="K187" s="19"/>
      <c r="L187" s="20"/>
    </row>
    <row r="188" spans="1:12" x14ac:dyDescent="0.3">
      <c r="A188" s="12">
        <v>169</v>
      </c>
      <c r="B188" s="13" t="s">
        <v>437</v>
      </c>
      <c r="C188" s="12">
        <v>947</v>
      </c>
      <c r="D188" s="13" t="s">
        <v>450</v>
      </c>
      <c r="E188" s="21" t="s">
        <v>4</v>
      </c>
      <c r="F188" s="15" t="s">
        <v>451</v>
      </c>
      <c r="G188" s="15" t="s">
        <v>60</v>
      </c>
      <c r="H188" s="16" t="str">
        <f>HYPERLINK("https://leetcode.com/problems/most-stones-removed-with-same-row-or-column/","Open")</f>
        <v>Open</v>
      </c>
      <c r="I188" s="17"/>
      <c r="J188" s="18"/>
      <c r="K188" s="19"/>
      <c r="L188" s="20"/>
    </row>
    <row r="189" spans="1:12" x14ac:dyDescent="0.3">
      <c r="A189" s="12">
        <v>170</v>
      </c>
      <c r="B189" s="13" t="s">
        <v>437</v>
      </c>
      <c r="C189" s="12">
        <v>990</v>
      </c>
      <c r="D189" s="13" t="s">
        <v>452</v>
      </c>
      <c r="E189" s="21" t="s">
        <v>4</v>
      </c>
      <c r="F189" s="15" t="s">
        <v>447</v>
      </c>
      <c r="G189" s="15" t="s">
        <v>60</v>
      </c>
      <c r="H189" s="16" t="str">
        <f>HYPERLINK("https://leetcode.com/problems/satisfiability-of-equality-equations/","Open")</f>
        <v>Open</v>
      </c>
      <c r="I189" s="17"/>
      <c r="J189" s="18"/>
      <c r="K189" s="19"/>
      <c r="L189" s="20"/>
    </row>
    <row r="190" spans="1:12" x14ac:dyDescent="0.3">
      <c r="A190" s="12">
        <v>171</v>
      </c>
      <c r="B190" s="13" t="s">
        <v>437</v>
      </c>
      <c r="C190" s="12">
        <v>399</v>
      </c>
      <c r="D190" s="13" t="s">
        <v>453</v>
      </c>
      <c r="E190" s="21" t="s">
        <v>4</v>
      </c>
      <c r="F190" s="15" t="s">
        <v>454</v>
      </c>
      <c r="G190" s="15" t="s">
        <v>118</v>
      </c>
      <c r="H190" s="16" t="str">
        <f>HYPERLINK("https://leetcode.com/problems/evaluate-division/","Open")</f>
        <v>Open</v>
      </c>
      <c r="I190" s="17"/>
      <c r="J190" s="18"/>
      <c r="K190" s="19"/>
      <c r="L190" s="20"/>
    </row>
    <row r="191" spans="1:12" x14ac:dyDescent="0.3">
      <c r="A191" s="12">
        <v>172</v>
      </c>
      <c r="B191" s="13" t="s">
        <v>437</v>
      </c>
      <c r="C191" s="12">
        <v>743</v>
      </c>
      <c r="D191" s="13" t="s">
        <v>455</v>
      </c>
      <c r="E191" s="21" t="s">
        <v>4</v>
      </c>
      <c r="F191" s="15" t="s">
        <v>456</v>
      </c>
      <c r="G191" s="15" t="s">
        <v>293</v>
      </c>
      <c r="H191" s="16" t="str">
        <f>HYPERLINK("https://leetcode.com/problems/network-delay-time/","Open")</f>
        <v>Open</v>
      </c>
      <c r="I191" s="17"/>
      <c r="J191" s="18"/>
      <c r="K191" s="19"/>
      <c r="L191" s="20"/>
    </row>
    <row r="192" spans="1:12" x14ac:dyDescent="0.3">
      <c r="A192" s="12">
        <v>173</v>
      </c>
      <c r="B192" s="13" t="s">
        <v>437</v>
      </c>
      <c r="C192" s="12">
        <v>1631</v>
      </c>
      <c r="D192" s="13" t="s">
        <v>457</v>
      </c>
      <c r="E192" s="21" t="s">
        <v>4</v>
      </c>
      <c r="F192" s="15" t="s">
        <v>458</v>
      </c>
      <c r="G192" s="15" t="s">
        <v>60</v>
      </c>
      <c r="H192" s="16" t="str">
        <f>HYPERLINK("https://leetcode.com/problems/path-with-minimum-effort/","Open")</f>
        <v>Open</v>
      </c>
      <c r="I192" s="17"/>
      <c r="J192" s="18"/>
      <c r="K192" s="19"/>
      <c r="L192" s="20"/>
    </row>
    <row r="193" spans="1:12" x14ac:dyDescent="0.3">
      <c r="A193" s="12">
        <v>174</v>
      </c>
      <c r="B193" s="13" t="s">
        <v>437</v>
      </c>
      <c r="C193" s="12">
        <v>1334</v>
      </c>
      <c r="D193" s="13" t="s">
        <v>459</v>
      </c>
      <c r="E193" s="21" t="s">
        <v>4</v>
      </c>
      <c r="F193" s="15" t="s">
        <v>460</v>
      </c>
      <c r="G193" s="15" t="s">
        <v>151</v>
      </c>
      <c r="H193" s="16" t="str">
        <f>HYPERLINK("https://leetcode.com/problems/find-the-city-with-the-smallest-number-of-neighbors-at-a-threshold-distance/","Open")</f>
        <v>Open</v>
      </c>
      <c r="I193" s="17"/>
      <c r="J193" s="18"/>
      <c r="K193" s="19"/>
      <c r="L193" s="20"/>
    </row>
    <row r="194" spans="1:12" x14ac:dyDescent="0.3">
      <c r="A194" s="12">
        <v>175</v>
      </c>
      <c r="B194" s="13" t="s">
        <v>437</v>
      </c>
      <c r="C194" s="12">
        <v>778</v>
      </c>
      <c r="D194" s="13" t="s">
        <v>461</v>
      </c>
      <c r="E194" s="22" t="s">
        <v>5</v>
      </c>
      <c r="F194" s="15" t="s">
        <v>462</v>
      </c>
      <c r="G194" s="15" t="s">
        <v>60</v>
      </c>
      <c r="H194" s="16" t="str">
        <f>HYPERLINK("https://leetcode.com/problems/swim-in-rising-water/","Open")</f>
        <v>Open</v>
      </c>
      <c r="I194" s="17"/>
      <c r="J194" s="18"/>
      <c r="K194" s="19"/>
      <c r="L194" s="20"/>
    </row>
    <row r="195" spans="1:12" x14ac:dyDescent="0.3">
      <c r="A195" s="12">
        <v>176</v>
      </c>
      <c r="B195" s="13" t="s">
        <v>437</v>
      </c>
      <c r="C195" s="12">
        <v>1192</v>
      </c>
      <c r="D195" s="13" t="s">
        <v>463</v>
      </c>
      <c r="E195" s="22" t="s">
        <v>5</v>
      </c>
      <c r="F195" s="15" t="s">
        <v>464</v>
      </c>
      <c r="G195" s="15" t="s">
        <v>60</v>
      </c>
      <c r="H195" s="16" t="str">
        <f>HYPERLINK("https://leetcode.com/problems/critical-connections-in-a-network/","Open")</f>
        <v>Open</v>
      </c>
      <c r="I195" s="17"/>
      <c r="J195" s="18"/>
      <c r="K195" s="19"/>
      <c r="L195" s="20"/>
    </row>
    <row r="196" spans="1:12" x14ac:dyDescent="0.3">
      <c r="A196" s="32" t="s">
        <v>465</v>
      </c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</row>
    <row r="197" spans="1:12" x14ac:dyDescent="0.3">
      <c r="A197" s="12">
        <v>177</v>
      </c>
      <c r="B197" s="13" t="s">
        <v>466</v>
      </c>
      <c r="C197" s="12">
        <v>509</v>
      </c>
      <c r="D197" s="13" t="s">
        <v>467</v>
      </c>
      <c r="E197" s="14" t="s">
        <v>3</v>
      </c>
      <c r="F197" s="15" t="s">
        <v>468</v>
      </c>
      <c r="G197" s="15" t="s">
        <v>469</v>
      </c>
      <c r="H197" s="16" t="str">
        <f>HYPERLINK("https://leetcode.com/problems/fibonacci-number/","Open")</f>
        <v>Open</v>
      </c>
      <c r="I197" s="17"/>
      <c r="J197" s="18"/>
      <c r="K197" s="19"/>
      <c r="L197" s="20"/>
    </row>
    <row r="198" spans="1:12" x14ac:dyDescent="0.3">
      <c r="A198" s="12">
        <v>178</v>
      </c>
      <c r="B198" s="13" t="s">
        <v>466</v>
      </c>
      <c r="C198" s="12">
        <v>1137</v>
      </c>
      <c r="D198" s="13" t="s">
        <v>470</v>
      </c>
      <c r="E198" s="14" t="s">
        <v>3</v>
      </c>
      <c r="F198" s="15" t="s">
        <v>471</v>
      </c>
      <c r="G198" s="15" t="s">
        <v>151</v>
      </c>
      <c r="H198" s="16" t="str">
        <f>HYPERLINK("https://leetcode.com/problems/n-th-tribonacci-number/","Open")</f>
        <v>Open</v>
      </c>
      <c r="I198" s="17"/>
      <c r="J198" s="18"/>
      <c r="K198" s="19"/>
      <c r="L198" s="20"/>
    </row>
    <row r="199" spans="1:12" x14ac:dyDescent="0.3">
      <c r="A199" s="12">
        <v>179</v>
      </c>
      <c r="B199" s="13" t="s">
        <v>466</v>
      </c>
      <c r="C199" s="12">
        <v>740</v>
      </c>
      <c r="D199" s="13" t="s">
        <v>472</v>
      </c>
      <c r="E199" s="21" t="s">
        <v>4</v>
      </c>
      <c r="F199" s="15" t="s">
        <v>473</v>
      </c>
      <c r="G199" s="15" t="s">
        <v>60</v>
      </c>
      <c r="H199" s="16" t="str">
        <f>HYPERLINK("https://leetcode.com/problems/delete-and-earn/","Open")</f>
        <v>Open</v>
      </c>
      <c r="I199" s="17"/>
      <c r="J199" s="18"/>
      <c r="K199" s="19"/>
      <c r="L199" s="20"/>
    </row>
    <row r="200" spans="1:12" x14ac:dyDescent="0.3">
      <c r="A200" s="12">
        <v>180</v>
      </c>
      <c r="B200" s="13" t="s">
        <v>466</v>
      </c>
      <c r="C200" s="12">
        <v>279</v>
      </c>
      <c r="D200" s="13" t="s">
        <v>474</v>
      </c>
      <c r="E200" s="21" t="s">
        <v>4</v>
      </c>
      <c r="F200" s="15" t="s">
        <v>475</v>
      </c>
      <c r="G200" s="15" t="s">
        <v>66</v>
      </c>
      <c r="H200" s="16" t="str">
        <f>HYPERLINK("https://leetcode.com/problems/perfect-squares/","Open")</f>
        <v>Open</v>
      </c>
      <c r="I200" s="17"/>
      <c r="J200" s="18"/>
      <c r="K200" s="19"/>
      <c r="L200" s="20"/>
    </row>
    <row r="201" spans="1:12" x14ac:dyDescent="0.3">
      <c r="A201" s="12">
        <v>181</v>
      </c>
      <c r="B201" s="13" t="s">
        <v>466</v>
      </c>
      <c r="C201" s="12">
        <v>343</v>
      </c>
      <c r="D201" s="13" t="s">
        <v>476</v>
      </c>
      <c r="E201" s="21" t="s">
        <v>4</v>
      </c>
      <c r="F201" s="15" t="s">
        <v>477</v>
      </c>
      <c r="G201" s="15" t="s">
        <v>60</v>
      </c>
      <c r="H201" s="16" t="str">
        <f>HYPERLINK("https://leetcode.com/problems/integer-break/","Open")</f>
        <v>Open</v>
      </c>
      <c r="I201" s="17"/>
      <c r="J201" s="18"/>
      <c r="K201" s="19"/>
      <c r="L201" s="20"/>
    </row>
    <row r="202" spans="1:12" x14ac:dyDescent="0.3">
      <c r="A202" s="12">
        <v>182</v>
      </c>
      <c r="B202" s="13" t="s">
        <v>466</v>
      </c>
      <c r="C202" s="12">
        <v>376</v>
      </c>
      <c r="D202" s="13" t="s">
        <v>478</v>
      </c>
      <c r="E202" s="21" t="s">
        <v>4</v>
      </c>
      <c r="F202" s="15" t="s">
        <v>479</v>
      </c>
      <c r="G202" s="15" t="s">
        <v>60</v>
      </c>
      <c r="H202" s="16" t="str">
        <f>HYPERLINK("https://leetcode.com/problems/wiggle-subsequence/","Open")</f>
        <v>Open</v>
      </c>
      <c r="I202" s="17"/>
      <c r="J202" s="18"/>
      <c r="K202" s="19"/>
      <c r="L202" s="20"/>
    </row>
    <row r="203" spans="1:12" x14ac:dyDescent="0.3">
      <c r="A203" s="12">
        <v>183</v>
      </c>
      <c r="B203" s="13" t="s">
        <v>466</v>
      </c>
      <c r="C203" s="12">
        <v>673</v>
      </c>
      <c r="D203" s="13" t="s">
        <v>480</v>
      </c>
      <c r="E203" s="21" t="s">
        <v>4</v>
      </c>
      <c r="F203" s="15" t="s">
        <v>481</v>
      </c>
      <c r="G203" s="15" t="s">
        <v>60</v>
      </c>
      <c r="H203" s="16" t="str">
        <f>HYPERLINK("https://leetcode.com/problems/number-of-longest-increasing-subsequence/","Open")</f>
        <v>Open</v>
      </c>
      <c r="I203" s="17"/>
      <c r="J203" s="18"/>
      <c r="K203" s="19"/>
      <c r="L203" s="20"/>
    </row>
    <row r="204" spans="1:12" x14ac:dyDescent="0.3">
      <c r="A204" s="12">
        <v>184</v>
      </c>
      <c r="B204" s="13" t="s">
        <v>466</v>
      </c>
      <c r="C204" s="12">
        <v>983</v>
      </c>
      <c r="D204" s="13" t="s">
        <v>482</v>
      </c>
      <c r="E204" s="21" t="s">
        <v>4</v>
      </c>
      <c r="F204" s="15" t="s">
        <v>483</v>
      </c>
      <c r="G204" s="15" t="s">
        <v>60</v>
      </c>
      <c r="H204" s="16" t="str">
        <f>HYPERLINK("https://leetcode.com/problems/minimum-cost-for-tickets/","Open")</f>
        <v>Open</v>
      </c>
      <c r="I204" s="17"/>
      <c r="J204" s="18"/>
      <c r="K204" s="19"/>
      <c r="L204" s="20"/>
    </row>
    <row r="205" spans="1:12" x14ac:dyDescent="0.3">
      <c r="A205" s="12">
        <v>185</v>
      </c>
      <c r="B205" s="13" t="s">
        <v>466</v>
      </c>
      <c r="C205" s="12">
        <v>918</v>
      </c>
      <c r="D205" s="13" t="s">
        <v>484</v>
      </c>
      <c r="E205" s="21" t="s">
        <v>4</v>
      </c>
      <c r="F205" s="15" t="s">
        <v>485</v>
      </c>
      <c r="G205" s="15" t="s">
        <v>60</v>
      </c>
      <c r="H205" s="16" t="str">
        <f>HYPERLINK("https://leetcode.com/problems/maximum-sum-circular-subarray/","Open")</f>
        <v>Open</v>
      </c>
      <c r="I205" s="17"/>
      <c r="J205" s="18"/>
      <c r="K205" s="19"/>
      <c r="L205" s="20"/>
    </row>
    <row r="206" spans="1:12" x14ac:dyDescent="0.3">
      <c r="A206" s="12">
        <v>186</v>
      </c>
      <c r="B206" s="13" t="s">
        <v>466</v>
      </c>
      <c r="C206" s="12">
        <v>790</v>
      </c>
      <c r="D206" s="13" t="s">
        <v>486</v>
      </c>
      <c r="E206" s="21" t="s">
        <v>4</v>
      </c>
      <c r="F206" s="15" t="s">
        <v>487</v>
      </c>
      <c r="G206" s="15" t="s">
        <v>66</v>
      </c>
      <c r="H206" s="16" t="str">
        <f>HYPERLINK("https://leetcode.com/problems/domino-and-tromino-tiling/","Open")</f>
        <v>Open</v>
      </c>
      <c r="I206" s="17"/>
      <c r="J206" s="18"/>
      <c r="K206" s="19"/>
      <c r="L206" s="20"/>
    </row>
    <row r="207" spans="1:12" x14ac:dyDescent="0.3">
      <c r="A207" s="12">
        <v>187</v>
      </c>
      <c r="B207" s="13" t="s">
        <v>466</v>
      </c>
      <c r="C207" s="12">
        <v>309</v>
      </c>
      <c r="D207" s="13" t="s">
        <v>488</v>
      </c>
      <c r="E207" s="21" t="s">
        <v>4</v>
      </c>
      <c r="F207" s="15" t="s">
        <v>489</v>
      </c>
      <c r="G207" s="15" t="s">
        <v>60</v>
      </c>
      <c r="H207" s="16" t="str">
        <f>HYPERLINK("https://leetcode.com/problems/best-time-to-buy-and-sell-stock-with-cooldown/","Open")</f>
        <v>Open</v>
      </c>
      <c r="I207" s="17"/>
      <c r="J207" s="18"/>
      <c r="K207" s="19"/>
      <c r="L207" s="20"/>
    </row>
    <row r="208" spans="1:12" x14ac:dyDescent="0.3">
      <c r="A208" s="12">
        <v>188</v>
      </c>
      <c r="B208" s="13" t="s">
        <v>466</v>
      </c>
      <c r="C208" s="12">
        <v>714</v>
      </c>
      <c r="D208" s="13" t="s">
        <v>490</v>
      </c>
      <c r="E208" s="21" t="s">
        <v>4</v>
      </c>
      <c r="F208" s="15" t="s">
        <v>491</v>
      </c>
      <c r="G208" s="15" t="s">
        <v>138</v>
      </c>
      <c r="H208" s="16" t="str">
        <f>HYPERLINK("https://leetcode.com/problems/best-time-to-buy-and-sell-stock-with-transaction-fee/","Open")</f>
        <v>Open</v>
      </c>
      <c r="I208" s="17"/>
      <c r="J208" s="18"/>
      <c r="K208" s="19"/>
      <c r="L208" s="20"/>
    </row>
    <row r="209" spans="1:12" ht="26.4" x14ac:dyDescent="0.3">
      <c r="A209" s="12">
        <v>189</v>
      </c>
      <c r="B209" s="13" t="s">
        <v>466</v>
      </c>
      <c r="C209" s="12">
        <v>123</v>
      </c>
      <c r="D209" s="13" t="s">
        <v>492</v>
      </c>
      <c r="E209" s="22" t="s">
        <v>5</v>
      </c>
      <c r="F209" s="15" t="s">
        <v>493</v>
      </c>
      <c r="G209" s="15" t="s">
        <v>494</v>
      </c>
      <c r="H209" s="16" t="str">
        <f>HYPERLINK("https://leetcode.com/problems/best-time-to-buy-and-sell-stock-iii/","Open")</f>
        <v>Open</v>
      </c>
      <c r="I209" s="17"/>
      <c r="J209" s="18"/>
      <c r="K209" s="19"/>
      <c r="L209" s="20"/>
    </row>
    <row r="210" spans="1:12" x14ac:dyDescent="0.3">
      <c r="A210" s="12">
        <v>190</v>
      </c>
      <c r="B210" s="13" t="s">
        <v>466</v>
      </c>
      <c r="C210" s="12">
        <v>188</v>
      </c>
      <c r="D210" s="13" t="s">
        <v>495</v>
      </c>
      <c r="E210" s="22" t="s">
        <v>5</v>
      </c>
      <c r="F210" s="15" t="s">
        <v>496</v>
      </c>
      <c r="G210" s="15" t="s">
        <v>69</v>
      </c>
      <c r="H210" s="16" t="str">
        <f>HYPERLINK("https://leetcode.com/problems/best-time-to-buy-and-sell-stock-iv/","Open")</f>
        <v>Open</v>
      </c>
      <c r="I210" s="17"/>
      <c r="J210" s="18"/>
      <c r="K210" s="19"/>
      <c r="L210" s="20"/>
    </row>
    <row r="211" spans="1:12" x14ac:dyDescent="0.3">
      <c r="A211" s="32" t="s">
        <v>497</v>
      </c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</row>
    <row r="212" spans="1:12" x14ac:dyDescent="0.3">
      <c r="A212" s="12">
        <v>191</v>
      </c>
      <c r="B212" s="13" t="s">
        <v>498</v>
      </c>
      <c r="C212" s="12">
        <v>63</v>
      </c>
      <c r="D212" s="13" t="s">
        <v>499</v>
      </c>
      <c r="E212" s="21" t="s">
        <v>4</v>
      </c>
      <c r="F212" s="15" t="s">
        <v>500</v>
      </c>
      <c r="G212" s="15" t="s">
        <v>69</v>
      </c>
      <c r="H212" s="16" t="str">
        <f>HYPERLINK("https://leetcode.com/problems/unique-paths-ii/","Open")</f>
        <v>Open</v>
      </c>
      <c r="I212" s="17"/>
      <c r="J212" s="18"/>
      <c r="K212" s="19"/>
      <c r="L212" s="20"/>
    </row>
    <row r="213" spans="1:12" ht="26.4" x14ac:dyDescent="0.3">
      <c r="A213" s="12">
        <v>192</v>
      </c>
      <c r="B213" s="13" t="s">
        <v>498</v>
      </c>
      <c r="C213" s="12">
        <v>64</v>
      </c>
      <c r="D213" s="13" t="s">
        <v>501</v>
      </c>
      <c r="E213" s="21" t="s">
        <v>4</v>
      </c>
      <c r="F213" s="15" t="s">
        <v>502</v>
      </c>
      <c r="G213" s="15" t="s">
        <v>494</v>
      </c>
      <c r="H213" s="16" t="str">
        <f>HYPERLINK("https://leetcode.com/problems/minimum-path-sum/","Open")</f>
        <v>Open</v>
      </c>
      <c r="I213" s="17"/>
      <c r="J213" s="18"/>
      <c r="K213" s="19"/>
      <c r="L213" s="20"/>
    </row>
    <row r="214" spans="1:12" x14ac:dyDescent="0.3">
      <c r="A214" s="12">
        <v>193</v>
      </c>
      <c r="B214" s="13" t="s">
        <v>498</v>
      </c>
      <c r="C214" s="12">
        <v>120</v>
      </c>
      <c r="D214" s="13" t="s">
        <v>503</v>
      </c>
      <c r="E214" s="21" t="s">
        <v>4</v>
      </c>
      <c r="F214" s="15" t="s">
        <v>504</v>
      </c>
      <c r="G214" s="15" t="s">
        <v>69</v>
      </c>
      <c r="H214" s="16" t="str">
        <f>HYPERLINK("https://leetcode.com/problems/triangle/","Open")</f>
        <v>Open</v>
      </c>
      <c r="I214" s="17"/>
      <c r="J214" s="18"/>
      <c r="K214" s="19"/>
      <c r="L214" s="20"/>
    </row>
    <row r="215" spans="1:12" x14ac:dyDescent="0.3">
      <c r="A215" s="12">
        <v>194</v>
      </c>
      <c r="B215" s="13" t="s">
        <v>498</v>
      </c>
      <c r="C215" s="12">
        <v>221</v>
      </c>
      <c r="D215" s="13" t="s">
        <v>505</v>
      </c>
      <c r="E215" s="21" t="s">
        <v>4</v>
      </c>
      <c r="F215" s="15" t="s">
        <v>506</v>
      </c>
      <c r="G215" s="15" t="s">
        <v>507</v>
      </c>
      <c r="H215" s="16" t="str">
        <f>HYPERLINK("https://leetcode.com/problems/maximal-square/","Open")</f>
        <v>Open</v>
      </c>
      <c r="I215" s="17"/>
      <c r="J215" s="18"/>
      <c r="K215" s="19"/>
      <c r="L215" s="20"/>
    </row>
    <row r="216" spans="1:12" x14ac:dyDescent="0.3">
      <c r="A216" s="12">
        <v>195</v>
      </c>
      <c r="B216" s="13" t="s">
        <v>498</v>
      </c>
      <c r="C216" s="12">
        <v>1143</v>
      </c>
      <c r="D216" s="13" t="s">
        <v>508</v>
      </c>
      <c r="E216" s="21" t="s">
        <v>4</v>
      </c>
      <c r="F216" s="15" t="s">
        <v>509</v>
      </c>
      <c r="G216" s="15" t="s">
        <v>75</v>
      </c>
      <c r="H216" s="16" t="str">
        <f>HYPERLINK("https://leetcode.com/problems/longest-common-subsequence/","Open")</f>
        <v>Open</v>
      </c>
      <c r="I216" s="17"/>
      <c r="J216" s="18"/>
      <c r="K216" s="19"/>
      <c r="L216" s="20"/>
    </row>
    <row r="217" spans="1:12" x14ac:dyDescent="0.3">
      <c r="A217" s="12">
        <v>196</v>
      </c>
      <c r="B217" s="13" t="s">
        <v>498</v>
      </c>
      <c r="C217" s="12">
        <v>72</v>
      </c>
      <c r="D217" s="13" t="s">
        <v>510</v>
      </c>
      <c r="E217" s="21" t="s">
        <v>4</v>
      </c>
      <c r="F217" s="15" t="s">
        <v>511</v>
      </c>
      <c r="G217" s="15" t="s">
        <v>75</v>
      </c>
      <c r="H217" s="16" t="str">
        <f>HYPERLINK("https://leetcode.com/problems/edit-distance/","Open")</f>
        <v>Open</v>
      </c>
      <c r="I217" s="17"/>
      <c r="J217" s="18"/>
      <c r="K217" s="19"/>
      <c r="L217" s="20"/>
    </row>
    <row r="218" spans="1:12" x14ac:dyDescent="0.3">
      <c r="A218" s="12">
        <v>197</v>
      </c>
      <c r="B218" s="13" t="s">
        <v>498</v>
      </c>
      <c r="C218" s="12">
        <v>516</v>
      </c>
      <c r="D218" s="13" t="s">
        <v>512</v>
      </c>
      <c r="E218" s="21" t="s">
        <v>4</v>
      </c>
      <c r="F218" s="15" t="s">
        <v>513</v>
      </c>
      <c r="G218" s="15" t="s">
        <v>69</v>
      </c>
      <c r="H218" s="16" t="str">
        <f>HYPERLINK("https://leetcode.com/problems/longest-palindromic-subsequence/","Open")</f>
        <v>Open</v>
      </c>
      <c r="I218" s="17"/>
      <c r="J218" s="18"/>
      <c r="K218" s="19"/>
      <c r="L218" s="20"/>
    </row>
    <row r="219" spans="1:12" x14ac:dyDescent="0.3">
      <c r="A219" s="12">
        <v>198</v>
      </c>
      <c r="B219" s="13" t="s">
        <v>498</v>
      </c>
      <c r="C219" s="12">
        <v>97</v>
      </c>
      <c r="D219" s="13" t="s">
        <v>514</v>
      </c>
      <c r="E219" s="21" t="s">
        <v>4</v>
      </c>
      <c r="F219" s="15" t="s">
        <v>515</v>
      </c>
      <c r="G219" s="15" t="s">
        <v>69</v>
      </c>
      <c r="H219" s="16" t="str">
        <f>HYPERLINK("https://leetcode.com/problems/interleaving-string/","Open")</f>
        <v>Open</v>
      </c>
      <c r="I219" s="17"/>
      <c r="J219" s="18"/>
      <c r="K219" s="19"/>
      <c r="L219" s="20"/>
    </row>
    <row r="220" spans="1:12" x14ac:dyDescent="0.3">
      <c r="A220" s="12">
        <v>199</v>
      </c>
      <c r="B220" s="13" t="s">
        <v>498</v>
      </c>
      <c r="C220" s="12">
        <v>329</v>
      </c>
      <c r="D220" s="13" t="s">
        <v>516</v>
      </c>
      <c r="E220" s="22" t="s">
        <v>5</v>
      </c>
      <c r="F220" s="15" t="s">
        <v>517</v>
      </c>
      <c r="G220" s="15" t="s">
        <v>293</v>
      </c>
      <c r="H220" s="16" t="str">
        <f>HYPERLINK("https://leetcode.com/problems/longest-increasing-path-in-a-matrix/","Open")</f>
        <v>Open</v>
      </c>
      <c r="I220" s="17"/>
      <c r="J220" s="18"/>
      <c r="K220" s="19"/>
      <c r="L220" s="20"/>
    </row>
    <row r="221" spans="1:12" x14ac:dyDescent="0.3">
      <c r="A221" s="12">
        <v>200</v>
      </c>
      <c r="B221" s="13" t="s">
        <v>498</v>
      </c>
      <c r="C221" s="12">
        <v>115</v>
      </c>
      <c r="D221" s="13" t="s">
        <v>518</v>
      </c>
      <c r="E221" s="22" t="s">
        <v>5</v>
      </c>
      <c r="F221" s="15" t="s">
        <v>519</v>
      </c>
      <c r="G221" s="15" t="s">
        <v>60</v>
      </c>
      <c r="H221" s="16" t="str">
        <f>HYPERLINK("https://leetcode.com/problems/distinct-subsequences/","Open")</f>
        <v>Open</v>
      </c>
      <c r="I221" s="17"/>
      <c r="J221" s="18"/>
      <c r="K221" s="19"/>
      <c r="L221" s="20"/>
    </row>
    <row r="222" spans="1:12" x14ac:dyDescent="0.3">
      <c r="A222" s="12">
        <v>201</v>
      </c>
      <c r="B222" s="13" t="s">
        <v>498</v>
      </c>
      <c r="C222" s="12">
        <v>10</v>
      </c>
      <c r="D222" s="13" t="s">
        <v>520</v>
      </c>
      <c r="E222" s="22" t="s">
        <v>5</v>
      </c>
      <c r="F222" s="15" t="s">
        <v>521</v>
      </c>
      <c r="G222" s="15" t="s">
        <v>266</v>
      </c>
      <c r="H222" s="16" t="str">
        <f>HYPERLINK("https://leetcode.com/problems/regular-expression-matching/","Open")</f>
        <v>Open</v>
      </c>
      <c r="I222" s="17"/>
      <c r="J222" s="18"/>
      <c r="K222" s="19"/>
      <c r="L222" s="20"/>
    </row>
    <row r="223" spans="1:12" x14ac:dyDescent="0.3">
      <c r="A223" s="12">
        <v>202</v>
      </c>
      <c r="B223" s="13" t="s">
        <v>498</v>
      </c>
      <c r="C223" s="12">
        <v>44</v>
      </c>
      <c r="D223" s="13" t="s">
        <v>522</v>
      </c>
      <c r="E223" s="22" t="s">
        <v>5</v>
      </c>
      <c r="F223" s="15" t="s">
        <v>523</v>
      </c>
      <c r="G223" s="15" t="s">
        <v>75</v>
      </c>
      <c r="H223" s="16" t="str">
        <f>HYPERLINK("https://leetcode.com/problems/wildcard-matching/","Open")</f>
        <v>Open</v>
      </c>
      <c r="I223" s="17"/>
      <c r="J223" s="18"/>
      <c r="K223" s="19"/>
      <c r="L223" s="20"/>
    </row>
    <row r="224" spans="1:12" x14ac:dyDescent="0.3">
      <c r="A224" s="32" t="s">
        <v>524</v>
      </c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</row>
    <row r="225" spans="1:12" x14ac:dyDescent="0.3">
      <c r="A225" s="12">
        <v>203</v>
      </c>
      <c r="B225" s="13" t="s">
        <v>525</v>
      </c>
      <c r="C225" s="12">
        <v>494</v>
      </c>
      <c r="D225" s="13" t="s">
        <v>526</v>
      </c>
      <c r="E225" s="21" t="s">
        <v>4</v>
      </c>
      <c r="F225" s="15" t="s">
        <v>527</v>
      </c>
      <c r="G225" s="15" t="s">
        <v>141</v>
      </c>
      <c r="H225" s="16" t="str">
        <f>HYPERLINK("https://leetcode.com/problems/target-sum/","Open")</f>
        <v>Open</v>
      </c>
      <c r="I225" s="17"/>
      <c r="J225" s="18"/>
      <c r="K225" s="19"/>
      <c r="L225" s="20"/>
    </row>
    <row r="226" spans="1:12" x14ac:dyDescent="0.3">
      <c r="A226" s="12">
        <v>204</v>
      </c>
      <c r="B226" s="13" t="s">
        <v>525</v>
      </c>
      <c r="C226" s="12">
        <v>1049</v>
      </c>
      <c r="D226" s="13" t="s">
        <v>528</v>
      </c>
      <c r="E226" s="21" t="s">
        <v>4</v>
      </c>
      <c r="F226" s="15" t="s">
        <v>529</v>
      </c>
      <c r="G226" s="15" t="s">
        <v>151</v>
      </c>
      <c r="H226" s="16" t="str">
        <f>HYPERLINK("https://leetcode.com/problems/last-stone-weight-ii/","Open")</f>
        <v>Open</v>
      </c>
      <c r="I226" s="17"/>
      <c r="J226" s="18"/>
      <c r="K226" s="19"/>
      <c r="L226" s="20"/>
    </row>
    <row r="227" spans="1:12" x14ac:dyDescent="0.3">
      <c r="A227" s="12">
        <v>205</v>
      </c>
      <c r="B227" s="13" t="s">
        <v>525</v>
      </c>
      <c r="C227" s="12">
        <v>474</v>
      </c>
      <c r="D227" s="13" t="s">
        <v>530</v>
      </c>
      <c r="E227" s="21" t="s">
        <v>4</v>
      </c>
      <c r="F227" s="15" t="s">
        <v>531</v>
      </c>
      <c r="G227" s="15" t="s">
        <v>60</v>
      </c>
      <c r="H227" s="16" t="str">
        <f>HYPERLINK("https://leetcode.com/problems/ones-and-zeroes/","Open")</f>
        <v>Open</v>
      </c>
      <c r="I227" s="17"/>
      <c r="J227" s="18"/>
      <c r="K227" s="19"/>
      <c r="L227" s="20"/>
    </row>
    <row r="228" spans="1:12" x14ac:dyDescent="0.3">
      <c r="A228" s="12">
        <v>206</v>
      </c>
      <c r="B228" s="13" t="s">
        <v>525</v>
      </c>
      <c r="C228" s="12">
        <v>377</v>
      </c>
      <c r="D228" s="13" t="s">
        <v>532</v>
      </c>
      <c r="E228" s="21" t="s">
        <v>4</v>
      </c>
      <c r="F228" s="15" t="s">
        <v>533</v>
      </c>
      <c r="G228" s="15" t="s">
        <v>60</v>
      </c>
      <c r="H228" s="16" t="str">
        <f>HYPERLINK("https://leetcode.com/problems/combination-sum-iv/","Open")</f>
        <v>Open</v>
      </c>
      <c r="I228" s="17"/>
      <c r="J228" s="18"/>
      <c r="K228" s="19"/>
      <c r="L228" s="20"/>
    </row>
    <row r="229" spans="1:12" x14ac:dyDescent="0.3">
      <c r="A229" s="12">
        <v>207</v>
      </c>
      <c r="B229" s="13" t="s">
        <v>525</v>
      </c>
      <c r="C229" s="12">
        <v>2140</v>
      </c>
      <c r="D229" s="13" t="s">
        <v>534</v>
      </c>
      <c r="E229" s="21" t="s">
        <v>4</v>
      </c>
      <c r="F229" s="15" t="s">
        <v>535</v>
      </c>
      <c r="G229" s="15" t="s">
        <v>151</v>
      </c>
      <c r="H229" s="16" t="str">
        <f>HYPERLINK("https://leetcode.com/problems/solving-questions-with-brainpower/","Open")</f>
        <v>Open</v>
      </c>
      <c r="I229" s="17"/>
      <c r="J229" s="18"/>
      <c r="K229" s="19"/>
      <c r="L229" s="20"/>
    </row>
    <row r="230" spans="1:12" x14ac:dyDescent="0.3">
      <c r="A230" s="12">
        <v>208</v>
      </c>
      <c r="B230" s="13" t="s">
        <v>525</v>
      </c>
      <c r="C230" s="12">
        <v>646</v>
      </c>
      <c r="D230" s="13" t="s">
        <v>536</v>
      </c>
      <c r="E230" s="21" t="s">
        <v>4</v>
      </c>
      <c r="F230" s="15" t="s">
        <v>537</v>
      </c>
      <c r="G230" s="15" t="s">
        <v>151</v>
      </c>
      <c r="H230" s="16" t="str">
        <f>HYPERLINK("https://leetcode.com/problems/maximum-length-of-pair-chain/","Open")</f>
        <v>Open</v>
      </c>
      <c r="I230" s="17"/>
      <c r="J230" s="18"/>
      <c r="K230" s="19"/>
      <c r="L230" s="20"/>
    </row>
    <row r="231" spans="1:12" x14ac:dyDescent="0.3">
      <c r="A231" s="12">
        <v>209</v>
      </c>
      <c r="B231" s="13" t="s">
        <v>525</v>
      </c>
      <c r="C231" s="12">
        <v>354</v>
      </c>
      <c r="D231" s="13" t="s">
        <v>538</v>
      </c>
      <c r="E231" s="22" t="s">
        <v>5</v>
      </c>
      <c r="F231" s="15" t="s">
        <v>539</v>
      </c>
      <c r="G231" s="15" t="s">
        <v>60</v>
      </c>
      <c r="H231" s="16" t="str">
        <f>HYPERLINK("https://leetcode.com/problems/russian-doll-envelopes/","Open")</f>
        <v>Open</v>
      </c>
      <c r="I231" s="17"/>
      <c r="J231" s="18"/>
      <c r="K231" s="19"/>
      <c r="L231" s="20"/>
    </row>
    <row r="232" spans="1:12" x14ac:dyDescent="0.3">
      <c r="A232" s="12">
        <v>210</v>
      </c>
      <c r="B232" s="13" t="s">
        <v>525</v>
      </c>
      <c r="C232" s="12">
        <v>1235</v>
      </c>
      <c r="D232" s="13" t="s">
        <v>540</v>
      </c>
      <c r="E232" s="22" t="s">
        <v>5</v>
      </c>
      <c r="F232" s="15" t="s">
        <v>541</v>
      </c>
      <c r="G232" s="15" t="s">
        <v>542</v>
      </c>
      <c r="H232" s="16" t="str">
        <f>HYPERLINK("https://leetcode.com/problems/maximum-profit-in-job-scheduling/","Open")</f>
        <v>Open</v>
      </c>
      <c r="I232" s="17"/>
      <c r="J232" s="18"/>
      <c r="K232" s="19"/>
      <c r="L232" s="20"/>
    </row>
    <row r="233" spans="1:12" x14ac:dyDescent="0.3">
      <c r="A233" s="12">
        <v>211</v>
      </c>
      <c r="B233" s="13" t="s">
        <v>525</v>
      </c>
      <c r="C233" s="12">
        <v>1751</v>
      </c>
      <c r="D233" s="13" t="s">
        <v>543</v>
      </c>
      <c r="E233" s="22" t="s">
        <v>5</v>
      </c>
      <c r="F233" s="15" t="s">
        <v>544</v>
      </c>
      <c r="G233" s="15" t="s">
        <v>60</v>
      </c>
      <c r="H233" s="16" t="str">
        <f>HYPERLINK("https://leetcode.com/problems/maximum-number-of-events-that-can-be-attended-ii/","Open")</f>
        <v>Open</v>
      </c>
      <c r="I233" s="17"/>
      <c r="J233" s="18"/>
      <c r="K233" s="19"/>
      <c r="L233" s="20"/>
    </row>
    <row r="234" spans="1:12" x14ac:dyDescent="0.3">
      <c r="A234" s="12">
        <v>212</v>
      </c>
      <c r="B234" s="13" t="s">
        <v>525</v>
      </c>
      <c r="C234" s="12">
        <v>312</v>
      </c>
      <c r="D234" s="13" t="s">
        <v>545</v>
      </c>
      <c r="E234" s="22" t="s">
        <v>5</v>
      </c>
      <c r="F234" s="15" t="s">
        <v>546</v>
      </c>
      <c r="G234" s="15" t="s">
        <v>293</v>
      </c>
      <c r="H234" s="16" t="str">
        <f>HYPERLINK("https://leetcode.com/problems/burst-balloons/","Open")</f>
        <v>Open</v>
      </c>
      <c r="I234" s="17"/>
      <c r="J234" s="18"/>
      <c r="K234" s="19"/>
      <c r="L234" s="20"/>
    </row>
    <row r="235" spans="1:12" x14ac:dyDescent="0.3">
      <c r="A235" s="32" t="s">
        <v>547</v>
      </c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</row>
    <row r="236" spans="1:12" x14ac:dyDescent="0.3">
      <c r="A236" s="12">
        <v>213</v>
      </c>
      <c r="B236" s="13" t="s">
        <v>548</v>
      </c>
      <c r="C236" s="12">
        <v>605</v>
      </c>
      <c r="D236" s="13" t="s">
        <v>549</v>
      </c>
      <c r="E236" s="14" t="s">
        <v>3</v>
      </c>
      <c r="F236" s="15" t="s">
        <v>550</v>
      </c>
      <c r="G236" s="15" t="s">
        <v>60</v>
      </c>
      <c r="H236" s="16" t="str">
        <f>HYPERLINK("https://leetcode.com/problems/can-place-flowers/","Open")</f>
        <v>Open</v>
      </c>
      <c r="I236" s="17"/>
      <c r="J236" s="18"/>
      <c r="K236" s="19"/>
      <c r="L236" s="20"/>
    </row>
    <row r="237" spans="1:12" x14ac:dyDescent="0.3">
      <c r="A237" s="12">
        <v>214</v>
      </c>
      <c r="B237" s="13" t="s">
        <v>548</v>
      </c>
      <c r="C237" s="12">
        <v>228</v>
      </c>
      <c r="D237" s="13" t="s">
        <v>551</v>
      </c>
      <c r="E237" s="14" t="s">
        <v>3</v>
      </c>
      <c r="F237" s="15" t="s">
        <v>552</v>
      </c>
      <c r="G237" s="15" t="s">
        <v>60</v>
      </c>
      <c r="H237" s="16" t="str">
        <f>HYPERLINK("https://leetcode.com/problems/summary-ranges/","Open")</f>
        <v>Open</v>
      </c>
      <c r="I237" s="17"/>
      <c r="J237" s="18"/>
      <c r="K237" s="19"/>
      <c r="L237" s="20"/>
    </row>
    <row r="238" spans="1:12" x14ac:dyDescent="0.3">
      <c r="A238" s="12">
        <v>215</v>
      </c>
      <c r="B238" s="13" t="s">
        <v>548</v>
      </c>
      <c r="C238" s="12">
        <v>1710</v>
      </c>
      <c r="D238" s="13" t="s">
        <v>553</v>
      </c>
      <c r="E238" s="14" t="s">
        <v>3</v>
      </c>
      <c r="F238" s="15" t="s">
        <v>554</v>
      </c>
      <c r="G238" s="15" t="s">
        <v>151</v>
      </c>
      <c r="H238" s="16" t="str">
        <f>HYPERLINK("https://leetcode.com/problems/maximum-units-on-a-truck/","Open")</f>
        <v>Open</v>
      </c>
      <c r="I238" s="17"/>
      <c r="J238" s="18"/>
      <c r="K238" s="19"/>
      <c r="L238" s="20"/>
    </row>
    <row r="239" spans="1:12" x14ac:dyDescent="0.3">
      <c r="A239" s="12">
        <v>216</v>
      </c>
      <c r="B239" s="13" t="s">
        <v>548</v>
      </c>
      <c r="C239" s="12">
        <v>738</v>
      </c>
      <c r="D239" s="13" t="s">
        <v>555</v>
      </c>
      <c r="E239" s="21" t="s">
        <v>4</v>
      </c>
      <c r="F239" s="15" t="s">
        <v>556</v>
      </c>
      <c r="G239" s="15" t="s">
        <v>151</v>
      </c>
      <c r="H239" s="16" t="str">
        <f>HYPERLINK("https://leetcode.com/problems/monotone-increasing-digits/","Open")</f>
        <v>Open</v>
      </c>
      <c r="I239" s="17"/>
      <c r="J239" s="18"/>
      <c r="K239" s="19"/>
      <c r="L239" s="20"/>
    </row>
    <row r="240" spans="1:12" x14ac:dyDescent="0.3">
      <c r="A240" s="12">
        <v>217</v>
      </c>
      <c r="B240" s="13" t="s">
        <v>548</v>
      </c>
      <c r="C240" s="12">
        <v>452</v>
      </c>
      <c r="D240" s="13" t="s">
        <v>557</v>
      </c>
      <c r="E240" s="21" t="s">
        <v>4</v>
      </c>
      <c r="F240" s="15" t="s">
        <v>558</v>
      </c>
      <c r="G240" s="15" t="s">
        <v>69</v>
      </c>
      <c r="H240" s="16" t="str">
        <f>HYPERLINK("https://leetcode.com/problems/minimum-number-of-arrows-to-burst-balloons/","Open")</f>
        <v>Open</v>
      </c>
      <c r="I240" s="17"/>
      <c r="J240" s="18"/>
      <c r="K240" s="19"/>
      <c r="L240" s="20"/>
    </row>
    <row r="241" spans="1:12" x14ac:dyDescent="0.3">
      <c r="A241" s="12">
        <v>218</v>
      </c>
      <c r="B241" s="13" t="s">
        <v>548</v>
      </c>
      <c r="C241" s="12">
        <v>1288</v>
      </c>
      <c r="D241" s="13" t="s">
        <v>559</v>
      </c>
      <c r="E241" s="21" t="s">
        <v>4</v>
      </c>
      <c r="F241" s="15" t="s">
        <v>560</v>
      </c>
      <c r="G241" s="15" t="s">
        <v>60</v>
      </c>
      <c r="H241" s="16" t="str">
        <f>HYPERLINK("https://leetcode.com/problems/remove-covered-intervals/","Open")</f>
        <v>Open</v>
      </c>
      <c r="I241" s="17"/>
      <c r="J241" s="18"/>
      <c r="K241" s="19"/>
      <c r="L241" s="20"/>
    </row>
    <row r="242" spans="1:12" x14ac:dyDescent="0.3">
      <c r="A242" s="12">
        <v>219</v>
      </c>
      <c r="B242" s="13" t="s">
        <v>548</v>
      </c>
      <c r="C242" s="12">
        <v>1024</v>
      </c>
      <c r="D242" s="13" t="s">
        <v>561</v>
      </c>
      <c r="E242" s="21" t="s">
        <v>4</v>
      </c>
      <c r="F242" s="15" t="s">
        <v>562</v>
      </c>
      <c r="G242" s="15" t="s">
        <v>60</v>
      </c>
      <c r="H242" s="16" t="str">
        <f>HYPERLINK("https://leetcode.com/problems/video-stitching/","Open")</f>
        <v>Open</v>
      </c>
      <c r="I242" s="17"/>
      <c r="J242" s="18"/>
      <c r="K242" s="19"/>
      <c r="L242" s="20"/>
    </row>
    <row r="243" spans="1:12" x14ac:dyDescent="0.3">
      <c r="A243" s="12">
        <v>220</v>
      </c>
      <c r="B243" s="13" t="s">
        <v>548</v>
      </c>
      <c r="C243" s="12">
        <v>846</v>
      </c>
      <c r="D243" s="13" t="s">
        <v>563</v>
      </c>
      <c r="E243" s="21" t="s">
        <v>4</v>
      </c>
      <c r="F243" s="15" t="s">
        <v>564</v>
      </c>
      <c r="G243" s="15" t="s">
        <v>66</v>
      </c>
      <c r="H243" s="16" t="str">
        <f>HYPERLINK("https://leetcode.com/problems/hand-of-straights/","Open")</f>
        <v>Open</v>
      </c>
      <c r="I243" s="17"/>
      <c r="J243" s="18"/>
      <c r="K243" s="19"/>
      <c r="L243" s="20"/>
    </row>
    <row r="244" spans="1:12" x14ac:dyDescent="0.3">
      <c r="A244" s="12">
        <v>221</v>
      </c>
      <c r="B244" s="13" t="s">
        <v>548</v>
      </c>
      <c r="C244" s="12">
        <v>406</v>
      </c>
      <c r="D244" s="13" t="s">
        <v>565</v>
      </c>
      <c r="E244" s="21" t="s">
        <v>4</v>
      </c>
      <c r="F244" s="15" t="s">
        <v>566</v>
      </c>
      <c r="G244" s="15" t="s">
        <v>60</v>
      </c>
      <c r="H244" s="16" t="str">
        <f>HYPERLINK("https://leetcode.com/problems/queue-reconstruction-by-height/","Open")</f>
        <v>Open</v>
      </c>
      <c r="I244" s="17"/>
      <c r="J244" s="18"/>
      <c r="K244" s="19"/>
      <c r="L244" s="20"/>
    </row>
    <row r="245" spans="1:12" x14ac:dyDescent="0.3">
      <c r="A245" s="12">
        <v>222</v>
      </c>
      <c r="B245" s="13" t="s">
        <v>548</v>
      </c>
      <c r="C245" s="12">
        <v>729</v>
      </c>
      <c r="D245" s="13" t="s">
        <v>567</v>
      </c>
      <c r="E245" s="21" t="s">
        <v>4</v>
      </c>
      <c r="F245" s="15" t="s">
        <v>568</v>
      </c>
      <c r="G245" s="15" t="s">
        <v>60</v>
      </c>
      <c r="H245" s="16" t="str">
        <f>HYPERLINK("https://leetcode.com/problems/my-calendar-i/","Open")</f>
        <v>Open</v>
      </c>
      <c r="I245" s="17"/>
      <c r="J245" s="18"/>
      <c r="K245" s="19"/>
      <c r="L245" s="20"/>
    </row>
    <row r="246" spans="1:12" x14ac:dyDescent="0.3">
      <c r="A246" s="12">
        <v>223</v>
      </c>
      <c r="B246" s="13" t="s">
        <v>548</v>
      </c>
      <c r="C246" s="12">
        <v>1353</v>
      </c>
      <c r="D246" s="13" t="s">
        <v>569</v>
      </c>
      <c r="E246" s="21" t="s">
        <v>4</v>
      </c>
      <c r="F246" s="15" t="s">
        <v>570</v>
      </c>
      <c r="G246" s="15" t="s">
        <v>60</v>
      </c>
      <c r="H246" s="16" t="str">
        <f>HYPERLINK("https://leetcode.com/problems/maximum-number-of-events-that-can-be-attended/","Open")</f>
        <v>Open</v>
      </c>
      <c r="I246" s="17"/>
      <c r="J246" s="18"/>
      <c r="K246" s="19"/>
      <c r="L246" s="20"/>
    </row>
    <row r="247" spans="1:12" x14ac:dyDescent="0.3">
      <c r="A247" s="12">
        <v>224</v>
      </c>
      <c r="B247" s="13" t="s">
        <v>548</v>
      </c>
      <c r="C247" s="12">
        <v>871</v>
      </c>
      <c r="D247" s="13" t="s">
        <v>571</v>
      </c>
      <c r="E247" s="22" t="s">
        <v>5</v>
      </c>
      <c r="F247" s="15" t="s">
        <v>357</v>
      </c>
      <c r="G247" s="15" t="s">
        <v>60</v>
      </c>
      <c r="H247" s="16" t="str">
        <f>HYPERLINK("https://leetcode.com/problems/minimum-number-of-refueling-stops/","Open")</f>
        <v>Open</v>
      </c>
      <c r="I247" s="17"/>
      <c r="J247" s="18"/>
      <c r="K247" s="19"/>
      <c r="L247" s="20"/>
    </row>
    <row r="248" spans="1:12" x14ac:dyDescent="0.3">
      <c r="A248" s="32" t="s">
        <v>572</v>
      </c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</row>
    <row r="249" spans="1:12" x14ac:dyDescent="0.3">
      <c r="A249" s="12">
        <v>225</v>
      </c>
      <c r="B249" s="13" t="s">
        <v>573</v>
      </c>
      <c r="C249" s="12">
        <v>191</v>
      </c>
      <c r="D249" s="13" t="s">
        <v>574</v>
      </c>
      <c r="E249" s="14" t="s">
        <v>3</v>
      </c>
      <c r="F249" s="15" t="s">
        <v>575</v>
      </c>
      <c r="G249" s="15" t="s">
        <v>576</v>
      </c>
      <c r="H249" s="16" t="str">
        <f>HYPERLINK("https://leetcode.com/problems/number-of-1-bits/","Open")</f>
        <v>Open</v>
      </c>
      <c r="I249" s="17"/>
      <c r="J249" s="18"/>
      <c r="K249" s="19"/>
      <c r="L249" s="20"/>
    </row>
    <row r="250" spans="1:12" x14ac:dyDescent="0.3">
      <c r="A250" s="12">
        <v>226</v>
      </c>
      <c r="B250" s="13" t="s">
        <v>573</v>
      </c>
      <c r="C250" s="12">
        <v>338</v>
      </c>
      <c r="D250" s="13" t="s">
        <v>577</v>
      </c>
      <c r="E250" s="14" t="s">
        <v>3</v>
      </c>
      <c r="F250" s="15" t="s">
        <v>578</v>
      </c>
      <c r="G250" s="15" t="s">
        <v>69</v>
      </c>
      <c r="H250" s="16" t="str">
        <f>HYPERLINK("https://leetcode.com/problems/counting-bits/","Open")</f>
        <v>Open</v>
      </c>
      <c r="I250" s="17"/>
      <c r="J250" s="18"/>
      <c r="K250" s="19"/>
      <c r="L250" s="20"/>
    </row>
    <row r="251" spans="1:12" x14ac:dyDescent="0.3">
      <c r="A251" s="12">
        <v>227</v>
      </c>
      <c r="B251" s="13" t="s">
        <v>573</v>
      </c>
      <c r="C251" s="12">
        <v>190</v>
      </c>
      <c r="D251" s="13" t="s">
        <v>579</v>
      </c>
      <c r="E251" s="14" t="s">
        <v>3</v>
      </c>
      <c r="F251" s="15" t="s">
        <v>580</v>
      </c>
      <c r="G251" s="15" t="s">
        <v>581</v>
      </c>
      <c r="H251" s="16" t="str">
        <f>HYPERLINK("https://leetcode.com/problems/reverse-bits/","Open")</f>
        <v>Open</v>
      </c>
      <c r="I251" s="17"/>
      <c r="J251" s="18"/>
      <c r="K251" s="19"/>
      <c r="L251" s="20"/>
    </row>
    <row r="252" spans="1:12" x14ac:dyDescent="0.3">
      <c r="A252" s="12">
        <v>228</v>
      </c>
      <c r="B252" s="13" t="s">
        <v>573</v>
      </c>
      <c r="C252" s="12">
        <v>371</v>
      </c>
      <c r="D252" s="13" t="s">
        <v>582</v>
      </c>
      <c r="E252" s="21" t="s">
        <v>4</v>
      </c>
      <c r="F252" s="15" t="s">
        <v>583</v>
      </c>
      <c r="G252" s="15" t="s">
        <v>69</v>
      </c>
      <c r="H252" s="16" t="str">
        <f>HYPERLINK("https://leetcode.com/problems/sum-of-two-integers/","Open")</f>
        <v>Open</v>
      </c>
      <c r="I252" s="17"/>
      <c r="J252" s="18"/>
      <c r="K252" s="19"/>
      <c r="L252" s="20"/>
    </row>
    <row r="253" spans="1:12" x14ac:dyDescent="0.3">
      <c r="A253" s="12">
        <v>229</v>
      </c>
      <c r="B253" s="13" t="s">
        <v>573</v>
      </c>
      <c r="C253" s="12">
        <v>137</v>
      </c>
      <c r="D253" s="13" t="s">
        <v>584</v>
      </c>
      <c r="E253" s="21" t="s">
        <v>4</v>
      </c>
      <c r="F253" s="15" t="s">
        <v>585</v>
      </c>
      <c r="G253" s="15" t="s">
        <v>60</v>
      </c>
      <c r="H253" s="16" t="str">
        <f>HYPERLINK("https://leetcode.com/problems/single-number-ii/","Open")</f>
        <v>Open</v>
      </c>
      <c r="I253" s="17"/>
      <c r="J253" s="18"/>
      <c r="K253" s="19"/>
      <c r="L253" s="20"/>
    </row>
    <row r="254" spans="1:12" x14ac:dyDescent="0.3">
      <c r="A254" s="12">
        <v>230</v>
      </c>
      <c r="B254" s="13" t="s">
        <v>573</v>
      </c>
      <c r="C254" s="12">
        <v>260</v>
      </c>
      <c r="D254" s="13" t="s">
        <v>586</v>
      </c>
      <c r="E254" s="21" t="s">
        <v>4</v>
      </c>
      <c r="F254" s="15" t="s">
        <v>587</v>
      </c>
      <c r="G254" s="15" t="s">
        <v>60</v>
      </c>
      <c r="H254" s="16" t="str">
        <f>HYPERLINK("https://leetcode.com/problems/single-number-iii/","Open")</f>
        <v>Open</v>
      </c>
      <c r="I254" s="17"/>
      <c r="J254" s="18"/>
      <c r="K254" s="19"/>
      <c r="L254" s="20"/>
    </row>
    <row r="255" spans="1:12" x14ac:dyDescent="0.3">
      <c r="A255" s="12">
        <v>231</v>
      </c>
      <c r="B255" s="13" t="s">
        <v>573</v>
      </c>
      <c r="C255" s="12">
        <v>201</v>
      </c>
      <c r="D255" s="13" t="s">
        <v>588</v>
      </c>
      <c r="E255" s="21" t="s">
        <v>4</v>
      </c>
      <c r="F255" s="15" t="s">
        <v>589</v>
      </c>
      <c r="G255" s="15" t="s">
        <v>60</v>
      </c>
      <c r="H255" s="16" t="str">
        <f>HYPERLINK("https://leetcode.com/problems/bitwise-and-of-numbers-range/","Open")</f>
        <v>Open</v>
      </c>
      <c r="I255" s="17"/>
      <c r="J255" s="18"/>
      <c r="K255" s="19"/>
      <c r="L255" s="20"/>
    </row>
    <row r="256" spans="1:12" x14ac:dyDescent="0.3">
      <c r="A256" s="12">
        <v>232</v>
      </c>
      <c r="B256" s="13" t="s">
        <v>573</v>
      </c>
      <c r="C256" s="12">
        <v>29</v>
      </c>
      <c r="D256" s="13" t="s">
        <v>590</v>
      </c>
      <c r="E256" s="21" t="s">
        <v>4</v>
      </c>
      <c r="F256" s="15" t="s">
        <v>591</v>
      </c>
      <c r="G256" s="15" t="s">
        <v>172</v>
      </c>
      <c r="H256" s="16" t="str">
        <f>HYPERLINK("https://leetcode.com/problems/divide-two-integers/","Open")</f>
        <v>Open</v>
      </c>
      <c r="I256" s="17"/>
      <c r="J256" s="18"/>
      <c r="K256" s="19"/>
      <c r="L256" s="20"/>
    </row>
    <row r="257" spans="1:12" x14ac:dyDescent="0.3">
      <c r="A257" s="32" t="s">
        <v>592</v>
      </c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</row>
    <row r="258" spans="1:12" x14ac:dyDescent="0.3">
      <c r="A258" s="12">
        <v>233</v>
      </c>
      <c r="B258" s="13" t="s">
        <v>593</v>
      </c>
      <c r="C258" s="12">
        <v>202</v>
      </c>
      <c r="D258" s="13" t="s">
        <v>594</v>
      </c>
      <c r="E258" s="14" t="s">
        <v>3</v>
      </c>
      <c r="F258" s="15" t="s">
        <v>595</v>
      </c>
      <c r="G258" s="15" t="s">
        <v>69</v>
      </c>
      <c r="H258" s="16" t="str">
        <f>HYPERLINK("https://leetcode.com/problems/happy-number/","Open")</f>
        <v>Open</v>
      </c>
      <c r="I258" s="17"/>
      <c r="J258" s="18"/>
      <c r="K258" s="19"/>
      <c r="L258" s="20"/>
    </row>
    <row r="259" spans="1:12" x14ac:dyDescent="0.3">
      <c r="A259" s="12">
        <v>234</v>
      </c>
      <c r="B259" s="13" t="s">
        <v>593</v>
      </c>
      <c r="C259" s="12">
        <v>7</v>
      </c>
      <c r="D259" s="13" t="s">
        <v>596</v>
      </c>
      <c r="E259" s="21" t="s">
        <v>4</v>
      </c>
      <c r="F259" s="15" t="s">
        <v>597</v>
      </c>
      <c r="G259" s="15" t="s">
        <v>63</v>
      </c>
      <c r="H259" s="16" t="str">
        <f>HYPERLINK("https://leetcode.com/problems/reverse-integer/","Open")</f>
        <v>Open</v>
      </c>
      <c r="I259" s="17"/>
      <c r="J259" s="18"/>
      <c r="K259" s="19"/>
      <c r="L259" s="20"/>
    </row>
    <row r="260" spans="1:12" ht="26.4" x14ac:dyDescent="0.3">
      <c r="A260" s="12">
        <v>235</v>
      </c>
      <c r="B260" s="13" t="s">
        <v>593</v>
      </c>
      <c r="C260" s="12">
        <v>50</v>
      </c>
      <c r="D260" s="13" t="s">
        <v>598</v>
      </c>
      <c r="E260" s="21" t="s">
        <v>4</v>
      </c>
      <c r="F260" s="15" t="s">
        <v>599</v>
      </c>
      <c r="G260" s="15" t="s">
        <v>600</v>
      </c>
      <c r="H260" s="16" t="str">
        <f>HYPERLINK("https://leetcode.com/problems/powx-n/","Open")</f>
        <v>Open</v>
      </c>
      <c r="I260" s="17"/>
      <c r="J260" s="18"/>
      <c r="K260" s="19"/>
      <c r="L260" s="20"/>
    </row>
    <row r="261" spans="1:12" x14ac:dyDescent="0.3">
      <c r="A261" s="12">
        <v>236</v>
      </c>
      <c r="B261" s="13" t="s">
        <v>593</v>
      </c>
      <c r="C261" s="12">
        <v>172</v>
      </c>
      <c r="D261" s="13" t="s">
        <v>601</v>
      </c>
      <c r="E261" s="21" t="s">
        <v>4</v>
      </c>
      <c r="F261" s="15" t="s">
        <v>602</v>
      </c>
      <c r="G261" s="15" t="s">
        <v>69</v>
      </c>
      <c r="H261" s="16" t="str">
        <f>HYPERLINK("https://leetcode.com/problems/factorial-trailing-zeroes/","Open")</f>
        <v>Open</v>
      </c>
      <c r="I261" s="17"/>
      <c r="J261" s="18"/>
      <c r="K261" s="19"/>
      <c r="L261" s="20"/>
    </row>
    <row r="262" spans="1:12" x14ac:dyDescent="0.3">
      <c r="A262" s="12">
        <v>237</v>
      </c>
      <c r="B262" s="13" t="s">
        <v>593</v>
      </c>
      <c r="C262" s="12">
        <v>204</v>
      </c>
      <c r="D262" s="13" t="s">
        <v>603</v>
      </c>
      <c r="E262" s="21" t="s">
        <v>4</v>
      </c>
      <c r="F262" s="15" t="s">
        <v>604</v>
      </c>
      <c r="G262" s="15" t="s">
        <v>69</v>
      </c>
      <c r="H262" s="16" t="str">
        <f>HYPERLINK("https://leetcode.com/problems/count-primes/","Open")</f>
        <v>Open</v>
      </c>
      <c r="I262" s="17"/>
      <c r="J262" s="18"/>
      <c r="K262" s="19"/>
      <c r="L262" s="20"/>
    </row>
    <row r="263" spans="1:12" x14ac:dyDescent="0.3">
      <c r="A263" s="12">
        <v>238</v>
      </c>
      <c r="B263" s="13" t="s">
        <v>593</v>
      </c>
      <c r="C263" s="12">
        <v>1492</v>
      </c>
      <c r="D263" s="13" t="s">
        <v>605</v>
      </c>
      <c r="E263" s="21" t="s">
        <v>4</v>
      </c>
      <c r="F263" s="15" t="s">
        <v>606</v>
      </c>
      <c r="G263" s="15" t="s">
        <v>72</v>
      </c>
      <c r="H263" s="16" t="str">
        <f>HYPERLINK("https://leetcode.com/problems/the-kth-factor-of-n/","Open")</f>
        <v>Open</v>
      </c>
      <c r="I263" s="17"/>
      <c r="J263" s="18"/>
      <c r="K263" s="19"/>
      <c r="L263" s="20"/>
    </row>
    <row r="264" spans="1:12" x14ac:dyDescent="0.3">
      <c r="A264" s="12">
        <v>239</v>
      </c>
      <c r="B264" s="13" t="s">
        <v>593</v>
      </c>
      <c r="C264" s="12">
        <v>166</v>
      </c>
      <c r="D264" s="13" t="s">
        <v>607</v>
      </c>
      <c r="E264" s="21" t="s">
        <v>4</v>
      </c>
      <c r="F264" s="15" t="s">
        <v>608</v>
      </c>
      <c r="G264" s="15" t="s">
        <v>60</v>
      </c>
      <c r="H264" s="16" t="str">
        <f>HYPERLINK("https://leetcode.com/problems/fraction-to-recurring-decimal/","Open")</f>
        <v>Open</v>
      </c>
      <c r="I264" s="17"/>
      <c r="J264" s="18"/>
      <c r="K264" s="19"/>
      <c r="L264" s="20"/>
    </row>
    <row r="265" spans="1:12" x14ac:dyDescent="0.3">
      <c r="A265" s="12">
        <v>240</v>
      </c>
      <c r="B265" s="13" t="s">
        <v>593</v>
      </c>
      <c r="C265" s="12">
        <v>149</v>
      </c>
      <c r="D265" s="13" t="s">
        <v>609</v>
      </c>
      <c r="E265" s="22" t="s">
        <v>5</v>
      </c>
      <c r="F265" s="15" t="s">
        <v>610</v>
      </c>
      <c r="G265" s="15" t="s">
        <v>611</v>
      </c>
      <c r="H265" s="16" t="str">
        <f>HYPERLINK("https://leetcode.com/problems/max-points-on-a-line/","Open")</f>
        <v>Open</v>
      </c>
      <c r="I265" s="17"/>
      <c r="J265" s="18"/>
      <c r="K265" s="19"/>
      <c r="L265" s="20"/>
    </row>
    <row r="266" spans="1:12" x14ac:dyDescent="0.3">
      <c r="A266" s="32" t="s">
        <v>612</v>
      </c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</row>
    <row r="267" spans="1:12" x14ac:dyDescent="0.3">
      <c r="A267" s="12">
        <v>241</v>
      </c>
      <c r="B267" s="13" t="s">
        <v>613</v>
      </c>
      <c r="C267" s="12">
        <v>705</v>
      </c>
      <c r="D267" s="13" t="s">
        <v>614</v>
      </c>
      <c r="E267" s="14" t="s">
        <v>3</v>
      </c>
      <c r="F267" s="15" t="s">
        <v>615</v>
      </c>
      <c r="G267" s="15" t="s">
        <v>69</v>
      </c>
      <c r="H267" s="16" t="str">
        <f>HYPERLINK("https://leetcode.com/problems/design-hashset/","Open")</f>
        <v>Open</v>
      </c>
      <c r="I267" s="17"/>
      <c r="J267" s="18"/>
      <c r="K267" s="19"/>
      <c r="L267" s="20"/>
    </row>
    <row r="268" spans="1:12" x14ac:dyDescent="0.3">
      <c r="A268" s="12">
        <v>242</v>
      </c>
      <c r="B268" s="13" t="s">
        <v>613</v>
      </c>
      <c r="C268" s="12">
        <v>706</v>
      </c>
      <c r="D268" s="13" t="s">
        <v>616</v>
      </c>
      <c r="E268" s="14" t="s">
        <v>3</v>
      </c>
      <c r="F268" s="15" t="s">
        <v>615</v>
      </c>
      <c r="G268" s="15" t="s">
        <v>99</v>
      </c>
      <c r="H268" s="16" t="str">
        <f>HYPERLINK("https://leetcode.com/problems/design-hashmap/","Open")</f>
        <v>Open</v>
      </c>
      <c r="I268" s="17"/>
      <c r="J268" s="18"/>
      <c r="K268" s="19"/>
      <c r="L268" s="20"/>
    </row>
    <row r="269" spans="1:12" x14ac:dyDescent="0.3">
      <c r="A269" s="12">
        <v>243</v>
      </c>
      <c r="B269" s="13" t="s">
        <v>613</v>
      </c>
      <c r="C269" s="12">
        <v>622</v>
      </c>
      <c r="D269" s="13" t="s">
        <v>617</v>
      </c>
      <c r="E269" s="21" t="s">
        <v>4</v>
      </c>
      <c r="F269" s="15" t="s">
        <v>618</v>
      </c>
      <c r="G269" s="15" t="s">
        <v>69</v>
      </c>
      <c r="H269" s="16" t="str">
        <f>HYPERLINK("https://leetcode.com/problems/design-circular-queue/","Open")</f>
        <v>Open</v>
      </c>
      <c r="I269" s="17"/>
      <c r="J269" s="18"/>
      <c r="K269" s="19"/>
      <c r="L269" s="20"/>
    </row>
    <row r="270" spans="1:12" ht="26.4" x14ac:dyDescent="0.3">
      <c r="A270" s="12">
        <v>244</v>
      </c>
      <c r="B270" s="13" t="s">
        <v>613</v>
      </c>
      <c r="C270" s="12">
        <v>380</v>
      </c>
      <c r="D270" s="13" t="s">
        <v>619</v>
      </c>
      <c r="E270" s="21" t="s">
        <v>4</v>
      </c>
      <c r="F270" s="15" t="s">
        <v>620</v>
      </c>
      <c r="G270" s="15" t="s">
        <v>621</v>
      </c>
      <c r="H270" s="16" t="str">
        <f>HYPERLINK("https://leetcode.com/problems/insert-delete-getrandom-o1/","Open")</f>
        <v>Open</v>
      </c>
      <c r="I270" s="17"/>
      <c r="J270" s="18"/>
      <c r="K270" s="19"/>
      <c r="L270" s="20"/>
    </row>
    <row r="271" spans="1:12" x14ac:dyDescent="0.3">
      <c r="A271" s="12">
        <v>245</v>
      </c>
      <c r="B271" s="13" t="s">
        <v>613</v>
      </c>
      <c r="C271" s="12">
        <v>381</v>
      </c>
      <c r="D271" s="13" t="s">
        <v>622</v>
      </c>
      <c r="E271" s="22" t="s">
        <v>5</v>
      </c>
      <c r="F271" s="15" t="s">
        <v>623</v>
      </c>
      <c r="G271" s="15" t="s">
        <v>60</v>
      </c>
      <c r="H271" s="16" t="str">
        <f>HYPERLINK("https://leetcode.com/problems/insert-delete-getrandom-o1-duplicates-allowed/","Open")</f>
        <v>Open</v>
      </c>
      <c r="I271" s="17"/>
      <c r="J271" s="18"/>
      <c r="K271" s="19"/>
      <c r="L271" s="20"/>
    </row>
    <row r="272" spans="1:12" ht="26.4" x14ac:dyDescent="0.3">
      <c r="A272" s="12">
        <v>246</v>
      </c>
      <c r="B272" s="13" t="s">
        <v>613</v>
      </c>
      <c r="C272" s="12">
        <v>146</v>
      </c>
      <c r="D272" s="13" t="s">
        <v>624</v>
      </c>
      <c r="E272" s="21" t="s">
        <v>4</v>
      </c>
      <c r="F272" s="15" t="s">
        <v>625</v>
      </c>
      <c r="G272" s="15" t="s">
        <v>626</v>
      </c>
      <c r="H272" s="16" t="str">
        <f>HYPERLINK("https://leetcode.com/problems/lru-cache/","Open")</f>
        <v>Open</v>
      </c>
      <c r="I272" s="17"/>
      <c r="J272" s="18"/>
      <c r="K272" s="19"/>
      <c r="L272" s="20"/>
    </row>
    <row r="273" spans="1:12" x14ac:dyDescent="0.3">
      <c r="A273" s="12">
        <v>247</v>
      </c>
      <c r="B273" s="13" t="s">
        <v>613</v>
      </c>
      <c r="C273" s="12">
        <v>460</v>
      </c>
      <c r="D273" s="13" t="s">
        <v>627</v>
      </c>
      <c r="E273" s="22" t="s">
        <v>5</v>
      </c>
      <c r="F273" s="15" t="s">
        <v>628</v>
      </c>
      <c r="G273" s="15" t="s">
        <v>293</v>
      </c>
      <c r="H273" s="16" t="str">
        <f>HYPERLINK("https://leetcode.com/problems/lfu-cache/","Open")</f>
        <v>Open</v>
      </c>
      <c r="I273" s="17"/>
      <c r="J273" s="18"/>
      <c r="K273" s="19"/>
      <c r="L273" s="20"/>
    </row>
    <row r="274" spans="1:12" x14ac:dyDescent="0.3">
      <c r="A274" s="12">
        <v>248</v>
      </c>
      <c r="B274" s="13" t="s">
        <v>613</v>
      </c>
      <c r="C274" s="12">
        <v>981</v>
      </c>
      <c r="D274" s="13" t="s">
        <v>629</v>
      </c>
      <c r="E274" s="21" t="s">
        <v>4</v>
      </c>
      <c r="F274" s="15" t="s">
        <v>630</v>
      </c>
      <c r="G274" s="15" t="s">
        <v>507</v>
      </c>
      <c r="H274" s="16" t="str">
        <f>HYPERLINK("https://leetcode.com/problems/time-based-key-value-store/","Open")</f>
        <v>Open</v>
      </c>
      <c r="I274" s="17"/>
      <c r="J274" s="18"/>
      <c r="K274" s="19"/>
      <c r="L274" s="20"/>
    </row>
    <row r="275" spans="1:12" x14ac:dyDescent="0.3">
      <c r="A275" s="12">
        <v>249</v>
      </c>
      <c r="B275" s="13" t="s">
        <v>613</v>
      </c>
      <c r="C275" s="12">
        <v>355</v>
      </c>
      <c r="D275" s="13" t="s">
        <v>631</v>
      </c>
      <c r="E275" s="21" t="s">
        <v>4</v>
      </c>
      <c r="F275" s="15" t="s">
        <v>632</v>
      </c>
      <c r="G275" s="15" t="s">
        <v>633</v>
      </c>
      <c r="H275" s="16" t="str">
        <f>HYPERLINK("https://leetcode.com/problems/design-twitter/","Open")</f>
        <v>Open</v>
      </c>
      <c r="I275" s="17"/>
      <c r="J275" s="18"/>
      <c r="K275" s="19"/>
      <c r="L275" s="20"/>
    </row>
    <row r="276" spans="1:12" x14ac:dyDescent="0.3">
      <c r="A276" s="12">
        <v>250</v>
      </c>
      <c r="B276" s="13" t="s">
        <v>613</v>
      </c>
      <c r="C276" s="12">
        <v>1396</v>
      </c>
      <c r="D276" s="13" t="s">
        <v>634</v>
      </c>
      <c r="E276" s="21" t="s">
        <v>4</v>
      </c>
      <c r="F276" s="15" t="s">
        <v>635</v>
      </c>
      <c r="G276" s="15" t="s">
        <v>636</v>
      </c>
      <c r="H276" s="16" t="str">
        <f>HYPERLINK("https://leetcode.com/problems/design-underground-system/","Open")</f>
        <v>Open</v>
      </c>
      <c r="I276" s="17"/>
      <c r="J276" s="18"/>
      <c r="K276" s="19"/>
      <c r="L276" s="20"/>
    </row>
  </sheetData>
  <autoFilter ref="A4:L276" xr:uid="{00000000-0009-0000-0000-000001000000}"/>
  <mergeCells count="23">
    <mergeCell ref="A248:L248"/>
    <mergeCell ref="A257:L257"/>
    <mergeCell ref="A266:L266"/>
    <mergeCell ref="A181:L181"/>
    <mergeCell ref="A196:L196"/>
    <mergeCell ref="A211:L211"/>
    <mergeCell ref="A224:L224"/>
    <mergeCell ref="A235:L235"/>
    <mergeCell ref="A126:L126"/>
    <mergeCell ref="A135:L135"/>
    <mergeCell ref="A148:L148"/>
    <mergeCell ref="A155:L155"/>
    <mergeCell ref="A166:L166"/>
    <mergeCell ref="A59:L59"/>
    <mergeCell ref="A72:L72"/>
    <mergeCell ref="A85:L85"/>
    <mergeCell ref="A98:L98"/>
    <mergeCell ref="A111:L111"/>
    <mergeCell ref="A2:K2"/>
    <mergeCell ref="A5:L5"/>
    <mergeCell ref="A24:L24"/>
    <mergeCell ref="A35:L35"/>
    <mergeCell ref="A46:L46"/>
  </mergeCells>
  <conditionalFormatting sqref="I5:I276">
    <cfRule type="cellIs" dxfId="0" priority="2" operator="equal">
      <formula>"Done"</formula>
    </cfRule>
  </conditionalFormatting>
  <dataValidations count="1">
    <dataValidation type="list" allowBlank="1" sqref="I5:I276" xr:uid="{00000000-0002-0000-0100-000000000000}">
      <formula1>"Done,Revise,Skipped"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1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28" customWidth="1"/>
    <col min="3" max="3" width="7" customWidth="1"/>
    <col min="4" max="4" width="62" customWidth="1"/>
    <col min="5" max="5" width="10" customWidth="1"/>
    <col min="6" max="6" width="8" customWidth="1"/>
    <col min="7" max="7" width="10" customWidth="1"/>
  </cols>
  <sheetData>
    <row r="1" spans="1:7" ht="16.8" x14ac:dyDescent="0.3">
      <c r="A1" s="2" t="s">
        <v>637</v>
      </c>
    </row>
    <row r="2" spans="1:7" x14ac:dyDescent="0.3">
      <c r="A2" s="23" t="s">
        <v>638</v>
      </c>
    </row>
    <row r="4" spans="1:7" x14ac:dyDescent="0.3">
      <c r="A4" s="24" t="s">
        <v>40</v>
      </c>
      <c r="B4" s="24" t="s">
        <v>1</v>
      </c>
      <c r="C4" s="24" t="s">
        <v>41</v>
      </c>
      <c r="D4" s="24" t="s">
        <v>42</v>
      </c>
      <c r="E4" s="24" t="s">
        <v>43</v>
      </c>
      <c r="F4" s="24" t="s">
        <v>46</v>
      </c>
      <c r="G4" s="24" t="s">
        <v>639</v>
      </c>
    </row>
    <row r="5" spans="1:7" x14ac:dyDescent="0.3">
      <c r="A5" s="32" t="s">
        <v>640</v>
      </c>
      <c r="B5" s="32"/>
      <c r="C5" s="32"/>
      <c r="D5" s="32"/>
      <c r="E5" s="32"/>
      <c r="F5" s="32"/>
      <c r="G5" s="32"/>
    </row>
    <row r="6" spans="1:7" x14ac:dyDescent="0.3">
      <c r="A6" s="5">
        <v>1</v>
      </c>
      <c r="B6" s="4" t="s">
        <v>641</v>
      </c>
      <c r="C6" s="5">
        <v>26</v>
      </c>
      <c r="D6" s="4" t="s">
        <v>642</v>
      </c>
      <c r="E6" s="25" t="s">
        <v>3</v>
      </c>
      <c r="F6" s="26" t="str">
        <f>HYPERLINK("https://leetcode.com/problems/remove-duplicates-from-sorted-array/","Open")</f>
        <v>Open</v>
      </c>
      <c r="G6" s="27"/>
    </row>
    <row r="7" spans="1:7" x14ac:dyDescent="0.3">
      <c r="A7" s="5">
        <v>2</v>
      </c>
      <c r="B7" s="4" t="s">
        <v>641</v>
      </c>
      <c r="C7" s="5">
        <v>27</v>
      </c>
      <c r="D7" s="4" t="s">
        <v>643</v>
      </c>
      <c r="E7" s="25" t="s">
        <v>3</v>
      </c>
      <c r="F7" s="26" t="str">
        <f>HYPERLINK("https://leetcode.com/problems/remove-element/","Open")</f>
        <v>Open</v>
      </c>
      <c r="G7" s="27"/>
    </row>
    <row r="8" spans="1:7" x14ac:dyDescent="0.3">
      <c r="A8" s="5">
        <v>3</v>
      </c>
      <c r="B8" s="4" t="s">
        <v>641</v>
      </c>
      <c r="C8" s="5">
        <v>344</v>
      </c>
      <c r="D8" s="4" t="s">
        <v>644</v>
      </c>
      <c r="E8" s="25" t="s">
        <v>3</v>
      </c>
      <c r="F8" s="26" t="str">
        <f>HYPERLINK("https://leetcode.com/problems/reverse-string/","Open")</f>
        <v>Open</v>
      </c>
      <c r="G8" s="27"/>
    </row>
    <row r="9" spans="1:7" x14ac:dyDescent="0.3">
      <c r="A9" s="5">
        <v>4</v>
      </c>
      <c r="B9" s="4" t="s">
        <v>641</v>
      </c>
      <c r="C9" s="5">
        <v>121</v>
      </c>
      <c r="D9" s="4" t="s">
        <v>645</v>
      </c>
      <c r="E9" s="25" t="s">
        <v>3</v>
      </c>
      <c r="F9" s="26" t="str">
        <f>HYPERLINK("https://leetcode.com/problems/best-time-to-buy-and-sell-stock/","Open")</f>
        <v>Open</v>
      </c>
      <c r="G9" s="27"/>
    </row>
    <row r="10" spans="1:7" x14ac:dyDescent="0.3">
      <c r="A10" s="5">
        <v>5</v>
      </c>
      <c r="B10" s="4" t="s">
        <v>641</v>
      </c>
      <c r="C10" s="5">
        <v>88</v>
      </c>
      <c r="D10" s="4" t="s">
        <v>646</v>
      </c>
      <c r="E10" s="25" t="s">
        <v>3</v>
      </c>
      <c r="F10" s="26" t="str">
        <f>HYPERLINK("https://leetcode.com/problems/merge-sorted-array/","Open")</f>
        <v>Open</v>
      </c>
      <c r="G10" s="27"/>
    </row>
    <row r="11" spans="1:7" x14ac:dyDescent="0.3">
      <c r="A11" s="5">
        <v>6</v>
      </c>
      <c r="B11" s="4" t="s">
        <v>641</v>
      </c>
      <c r="C11" s="5">
        <v>283</v>
      </c>
      <c r="D11" s="4" t="s">
        <v>647</v>
      </c>
      <c r="E11" s="25" t="s">
        <v>3</v>
      </c>
      <c r="F11" s="26" t="str">
        <f>HYPERLINK("https://leetcode.com/problems/move-zeroes/","Open")</f>
        <v>Open</v>
      </c>
      <c r="G11" s="27"/>
    </row>
    <row r="12" spans="1:7" x14ac:dyDescent="0.3">
      <c r="A12" s="5">
        <v>7</v>
      </c>
      <c r="B12" s="4" t="s">
        <v>641</v>
      </c>
      <c r="C12" s="5">
        <v>485</v>
      </c>
      <c r="D12" s="4" t="s">
        <v>648</v>
      </c>
      <c r="E12" s="25" t="s">
        <v>3</v>
      </c>
      <c r="F12" s="26" t="str">
        <f>HYPERLINK("https://leetcode.com/problems/max-consecutive-ones/","Open")</f>
        <v>Open</v>
      </c>
      <c r="G12" s="27"/>
    </row>
    <row r="13" spans="1:7" x14ac:dyDescent="0.3">
      <c r="A13" s="5">
        <v>8</v>
      </c>
      <c r="B13" s="4" t="s">
        <v>641</v>
      </c>
      <c r="C13" s="5">
        <v>268</v>
      </c>
      <c r="D13" s="4" t="s">
        <v>649</v>
      </c>
      <c r="E13" s="25" t="s">
        <v>3</v>
      </c>
      <c r="F13" s="26" t="str">
        <f>HYPERLINK("https://leetcode.com/problems/missing-number/","Open")</f>
        <v>Open</v>
      </c>
      <c r="G13" s="27"/>
    </row>
    <row r="14" spans="1:7" x14ac:dyDescent="0.3">
      <c r="A14" s="5">
        <v>9</v>
      </c>
      <c r="B14" s="4" t="s">
        <v>641</v>
      </c>
      <c r="C14" s="5">
        <v>136</v>
      </c>
      <c r="D14" s="4" t="s">
        <v>650</v>
      </c>
      <c r="E14" s="25" t="s">
        <v>3</v>
      </c>
      <c r="F14" s="26" t="str">
        <f>HYPERLINK("https://leetcode.com/problems/single-number/","Open")</f>
        <v>Open</v>
      </c>
      <c r="G14" s="27"/>
    </row>
    <row r="15" spans="1:7" x14ac:dyDescent="0.3">
      <c r="A15" s="32" t="s">
        <v>651</v>
      </c>
      <c r="B15" s="32"/>
      <c r="C15" s="32"/>
      <c r="D15" s="32"/>
      <c r="E15" s="32"/>
      <c r="F15" s="32"/>
      <c r="G15" s="32"/>
    </row>
    <row r="16" spans="1:7" x14ac:dyDescent="0.3">
      <c r="A16" s="5">
        <v>10</v>
      </c>
      <c r="B16" s="4" t="s">
        <v>240</v>
      </c>
      <c r="C16" s="5">
        <v>707</v>
      </c>
      <c r="D16" s="4" t="s">
        <v>652</v>
      </c>
      <c r="E16" s="28" t="s">
        <v>4</v>
      </c>
      <c r="F16" s="26" t="str">
        <f>HYPERLINK("https://leetcode.com/problems/design-linked-list/","Open")</f>
        <v>Open</v>
      </c>
      <c r="G16" s="27"/>
    </row>
    <row r="17" spans="1:7" x14ac:dyDescent="0.3">
      <c r="A17" s="5">
        <v>11</v>
      </c>
      <c r="B17" s="4" t="s">
        <v>240</v>
      </c>
      <c r="C17" s="5">
        <v>876</v>
      </c>
      <c r="D17" s="4" t="s">
        <v>653</v>
      </c>
      <c r="E17" s="25" t="s">
        <v>3</v>
      </c>
      <c r="F17" s="26" t="str">
        <f>HYPERLINK("https://leetcode.com/problems/middle-of-the-linked-list/","Open")</f>
        <v>Open</v>
      </c>
      <c r="G17" s="27"/>
    </row>
    <row r="18" spans="1:7" x14ac:dyDescent="0.3">
      <c r="A18" s="5">
        <v>12</v>
      </c>
      <c r="B18" s="4" t="s">
        <v>240</v>
      </c>
      <c r="C18" s="5">
        <v>206</v>
      </c>
      <c r="D18" s="4" t="s">
        <v>654</v>
      </c>
      <c r="E18" s="25" t="s">
        <v>3</v>
      </c>
      <c r="F18" s="26" t="str">
        <f>HYPERLINK("https://leetcode.com/problems/reverse-linked-list/","Open")</f>
        <v>Open</v>
      </c>
      <c r="G18" s="27"/>
    </row>
    <row r="19" spans="1:7" x14ac:dyDescent="0.3">
      <c r="A19" s="5">
        <v>13</v>
      </c>
      <c r="B19" s="4" t="s">
        <v>240</v>
      </c>
      <c r="C19" s="5">
        <v>141</v>
      </c>
      <c r="D19" s="4" t="s">
        <v>655</v>
      </c>
      <c r="E19" s="25" t="s">
        <v>3</v>
      </c>
      <c r="F19" s="26" t="str">
        <f>HYPERLINK("https://leetcode.com/problems/linked-list-cycle/","Open")</f>
        <v>Open</v>
      </c>
      <c r="G19" s="27"/>
    </row>
    <row r="20" spans="1:7" x14ac:dyDescent="0.3">
      <c r="A20" s="5">
        <v>14</v>
      </c>
      <c r="B20" s="4" t="s">
        <v>240</v>
      </c>
      <c r="C20" s="5">
        <v>234</v>
      </c>
      <c r="D20" s="4" t="s">
        <v>656</v>
      </c>
      <c r="E20" s="25" t="s">
        <v>3</v>
      </c>
      <c r="F20" s="26" t="str">
        <f>HYPERLINK("https://leetcode.com/problems/palindrome-linked-list/","Open")</f>
        <v>Open</v>
      </c>
      <c r="G20" s="27"/>
    </row>
    <row r="21" spans="1:7" x14ac:dyDescent="0.3">
      <c r="A21" s="5">
        <v>15</v>
      </c>
      <c r="B21" s="4" t="s">
        <v>240</v>
      </c>
      <c r="C21" s="5">
        <v>160</v>
      </c>
      <c r="D21" s="4" t="s">
        <v>657</v>
      </c>
      <c r="E21" s="25" t="s">
        <v>3</v>
      </c>
      <c r="F21" s="26" t="str">
        <f>HYPERLINK("https://leetcode.com/problems/intersection-of-two-linked-lists/","Open")</f>
        <v>Open</v>
      </c>
      <c r="G21" s="27"/>
    </row>
    <row r="22" spans="1:7" x14ac:dyDescent="0.3">
      <c r="A22" s="5">
        <v>16</v>
      </c>
      <c r="B22" s="4" t="s">
        <v>240</v>
      </c>
      <c r="C22" s="5">
        <v>203</v>
      </c>
      <c r="D22" s="4" t="s">
        <v>658</v>
      </c>
      <c r="E22" s="25" t="s">
        <v>3</v>
      </c>
      <c r="F22" s="26" t="str">
        <f>HYPERLINK("https://leetcode.com/problems/remove-linked-list-elements/","Open")</f>
        <v>Open</v>
      </c>
      <c r="G22" s="27"/>
    </row>
    <row r="23" spans="1:7" x14ac:dyDescent="0.3">
      <c r="A23" s="5">
        <v>17</v>
      </c>
      <c r="B23" s="4" t="s">
        <v>240</v>
      </c>
      <c r="C23" s="5">
        <v>19</v>
      </c>
      <c r="D23" s="4" t="s">
        <v>659</v>
      </c>
      <c r="E23" s="28" t="s">
        <v>4</v>
      </c>
      <c r="F23" s="26" t="str">
        <f>HYPERLINK("https://leetcode.com/problems/remove-nth-node-from-end-of-list/","Open")</f>
        <v>Open</v>
      </c>
      <c r="G23" s="27"/>
    </row>
    <row r="24" spans="1:7" x14ac:dyDescent="0.3">
      <c r="A24" s="5">
        <v>18</v>
      </c>
      <c r="B24" s="4" t="s">
        <v>240</v>
      </c>
      <c r="C24" s="5">
        <v>83</v>
      </c>
      <c r="D24" s="4" t="s">
        <v>660</v>
      </c>
      <c r="E24" s="25" t="s">
        <v>3</v>
      </c>
      <c r="F24" s="26" t="str">
        <f>HYPERLINK("https://leetcode.com/problems/remove-duplicates-from-sorted-list/","Open")</f>
        <v>Open</v>
      </c>
      <c r="G24" s="27"/>
    </row>
    <row r="25" spans="1:7" x14ac:dyDescent="0.3">
      <c r="A25" s="5">
        <v>19</v>
      </c>
      <c r="B25" s="4" t="s">
        <v>240</v>
      </c>
      <c r="C25" s="5">
        <v>328</v>
      </c>
      <c r="D25" s="4" t="s">
        <v>661</v>
      </c>
      <c r="E25" s="28" t="s">
        <v>4</v>
      </c>
      <c r="F25" s="26" t="str">
        <f>HYPERLINK("https://leetcode.com/problems/odd-even-linked-list/","Open")</f>
        <v>Open</v>
      </c>
      <c r="G25" s="27"/>
    </row>
    <row r="26" spans="1:7" x14ac:dyDescent="0.3">
      <c r="A26" s="5">
        <v>20</v>
      </c>
      <c r="B26" s="4" t="s">
        <v>240</v>
      </c>
      <c r="C26" s="5">
        <v>2</v>
      </c>
      <c r="D26" s="4" t="s">
        <v>662</v>
      </c>
      <c r="E26" s="28" t="s">
        <v>4</v>
      </c>
      <c r="F26" s="26" t="str">
        <f>HYPERLINK("https://leetcode.com/problems/add-two-numbers/","Open")</f>
        <v>Open</v>
      </c>
      <c r="G26" s="27"/>
    </row>
    <row r="27" spans="1:7" x14ac:dyDescent="0.3">
      <c r="A27" s="5">
        <v>21</v>
      </c>
      <c r="B27" s="4" t="s">
        <v>240</v>
      </c>
      <c r="C27" s="5">
        <v>21</v>
      </c>
      <c r="D27" s="4" t="s">
        <v>663</v>
      </c>
      <c r="E27" s="25" t="s">
        <v>3</v>
      </c>
      <c r="F27" s="26" t="str">
        <f>HYPERLINK("https://leetcode.com/problems/merge-two-sorted-lists/","Open")</f>
        <v>Open</v>
      </c>
      <c r="G27" s="27"/>
    </row>
    <row r="28" spans="1:7" x14ac:dyDescent="0.3">
      <c r="A28" s="5">
        <v>22</v>
      </c>
      <c r="B28" s="4" t="s">
        <v>240</v>
      </c>
      <c r="C28" s="5">
        <v>61</v>
      </c>
      <c r="D28" s="4" t="s">
        <v>664</v>
      </c>
      <c r="E28" s="28" t="s">
        <v>4</v>
      </c>
      <c r="F28" s="26" t="str">
        <f>HYPERLINK("https://leetcode.com/problems/rotate-list/","Open")</f>
        <v>Open</v>
      </c>
      <c r="G28" s="27"/>
    </row>
    <row r="29" spans="1:7" x14ac:dyDescent="0.3">
      <c r="A29" s="5">
        <v>23</v>
      </c>
      <c r="B29" s="4" t="s">
        <v>240</v>
      </c>
      <c r="C29" s="5">
        <v>24</v>
      </c>
      <c r="D29" s="4" t="s">
        <v>665</v>
      </c>
      <c r="E29" s="28" t="s">
        <v>4</v>
      </c>
      <c r="F29" s="26" t="str">
        <f>HYPERLINK("https://leetcode.com/problems/swap-nodes-in-pairs/","Open")</f>
        <v>Open</v>
      </c>
      <c r="G29" s="27"/>
    </row>
    <row r="30" spans="1:7" x14ac:dyDescent="0.3">
      <c r="A30" s="32" t="s">
        <v>666</v>
      </c>
      <c r="B30" s="32"/>
      <c r="C30" s="32"/>
      <c r="D30" s="32"/>
      <c r="E30" s="32"/>
      <c r="F30" s="32"/>
      <c r="G30" s="32"/>
    </row>
    <row r="31" spans="1:7" x14ac:dyDescent="0.3">
      <c r="A31" s="5">
        <v>24</v>
      </c>
      <c r="B31" s="4" t="s">
        <v>667</v>
      </c>
      <c r="C31" s="5">
        <v>58</v>
      </c>
      <c r="D31" s="4" t="s">
        <v>668</v>
      </c>
      <c r="E31" s="25" t="s">
        <v>3</v>
      </c>
      <c r="F31" s="26" t="str">
        <f>HYPERLINK("https://leetcode.com/problems/length-of-last-word/","Open")</f>
        <v>Open</v>
      </c>
      <c r="G31" s="27"/>
    </row>
    <row r="32" spans="1:7" x14ac:dyDescent="0.3">
      <c r="A32" s="5">
        <v>25</v>
      </c>
      <c r="B32" s="4" t="s">
        <v>667</v>
      </c>
      <c r="C32" s="5">
        <v>2942</v>
      </c>
      <c r="D32" s="4" t="s">
        <v>669</v>
      </c>
      <c r="E32" s="25" t="s">
        <v>3</v>
      </c>
      <c r="F32" s="26" t="str">
        <f>HYPERLINK("https://leetcode.com/problems/find-words-containing-character/","Open")</f>
        <v>Open</v>
      </c>
      <c r="G32" s="27"/>
    </row>
    <row r="33" spans="1:7" x14ac:dyDescent="0.3">
      <c r="A33" s="5">
        <v>26</v>
      </c>
      <c r="B33" s="4" t="s">
        <v>667</v>
      </c>
      <c r="C33" s="5">
        <v>771</v>
      </c>
      <c r="D33" s="4" t="s">
        <v>670</v>
      </c>
      <c r="E33" s="25" t="s">
        <v>3</v>
      </c>
      <c r="F33" s="26" t="str">
        <f>HYPERLINK("https://leetcode.com/problems/jewels-and-stones/","Open")</f>
        <v>Open</v>
      </c>
      <c r="G33" s="27"/>
    </row>
    <row r="34" spans="1:7" x14ac:dyDescent="0.3">
      <c r="A34" s="5">
        <v>27</v>
      </c>
      <c r="B34" s="4" t="s">
        <v>667</v>
      </c>
      <c r="C34" s="5">
        <v>3541</v>
      </c>
      <c r="D34" s="4" t="s">
        <v>671</v>
      </c>
      <c r="E34" s="25" t="s">
        <v>3</v>
      </c>
      <c r="F34" s="26" t="str">
        <f>HYPERLINK("https://leetcode.com/problems/find-most-frequent-vowel-and-consonant/","Open")</f>
        <v>Open</v>
      </c>
      <c r="G34" s="27"/>
    </row>
    <row r="35" spans="1:7" x14ac:dyDescent="0.3">
      <c r="A35" s="5">
        <v>28</v>
      </c>
      <c r="B35" s="4" t="s">
        <v>667</v>
      </c>
      <c r="C35" s="5">
        <v>1221</v>
      </c>
      <c r="D35" s="4" t="s">
        <v>672</v>
      </c>
      <c r="E35" s="25" t="s">
        <v>3</v>
      </c>
      <c r="F35" s="26" t="str">
        <f>HYPERLINK("https://leetcode.com/problems/split-a-string-in-balanced-strings/","Open")</f>
        <v>Open</v>
      </c>
      <c r="G35" s="27"/>
    </row>
    <row r="36" spans="1:7" x14ac:dyDescent="0.3">
      <c r="A36" s="5">
        <v>29</v>
      </c>
      <c r="B36" s="4" t="s">
        <v>667</v>
      </c>
      <c r="C36" s="5">
        <v>541</v>
      </c>
      <c r="D36" s="4" t="s">
        <v>673</v>
      </c>
      <c r="E36" s="25" t="s">
        <v>3</v>
      </c>
      <c r="F36" s="26" t="str">
        <f>HYPERLINK("https://leetcode.com/problems/reverse-string-ii/","Open")</f>
        <v>Open</v>
      </c>
      <c r="G36" s="27"/>
    </row>
    <row r="37" spans="1:7" x14ac:dyDescent="0.3">
      <c r="A37" s="5">
        <v>30</v>
      </c>
      <c r="B37" s="4" t="s">
        <v>667</v>
      </c>
      <c r="C37" s="5">
        <v>125</v>
      </c>
      <c r="D37" s="4" t="s">
        <v>674</v>
      </c>
      <c r="E37" s="25" t="s">
        <v>3</v>
      </c>
      <c r="F37" s="26" t="str">
        <f>HYPERLINK("https://leetcode.com/problems/valid-palindrome/","Open")</f>
        <v>Open</v>
      </c>
      <c r="G37" s="27"/>
    </row>
    <row r="38" spans="1:7" x14ac:dyDescent="0.3">
      <c r="A38" s="5">
        <v>31</v>
      </c>
      <c r="B38" s="4" t="s">
        <v>667</v>
      </c>
      <c r="C38" s="5">
        <v>1903</v>
      </c>
      <c r="D38" s="4" t="s">
        <v>675</v>
      </c>
      <c r="E38" s="25" t="s">
        <v>3</v>
      </c>
      <c r="F38" s="26" t="str">
        <f>HYPERLINK("https://leetcode.com/problems/largest-odd-number-in-string/","Open")</f>
        <v>Open</v>
      </c>
      <c r="G38" s="27"/>
    </row>
    <row r="39" spans="1:7" x14ac:dyDescent="0.3">
      <c r="A39" s="5">
        <v>32</v>
      </c>
      <c r="B39" s="4" t="s">
        <v>667</v>
      </c>
      <c r="C39" s="5">
        <v>14</v>
      </c>
      <c r="D39" s="4" t="s">
        <v>676</v>
      </c>
      <c r="E39" s="25" t="s">
        <v>3</v>
      </c>
      <c r="F39" s="26" t="str">
        <f>HYPERLINK("https://leetcode.com/problems/longest-common-prefix/","Open")</f>
        <v>Open</v>
      </c>
      <c r="G39" s="27"/>
    </row>
    <row r="40" spans="1:7" x14ac:dyDescent="0.3">
      <c r="A40" s="5">
        <v>33</v>
      </c>
      <c r="B40" s="4" t="s">
        <v>667</v>
      </c>
      <c r="C40" s="5">
        <v>242</v>
      </c>
      <c r="D40" s="4" t="s">
        <v>677</v>
      </c>
      <c r="E40" s="25" t="s">
        <v>3</v>
      </c>
      <c r="F40" s="26" t="str">
        <f>HYPERLINK("https://leetcode.com/problems/valid-anagram/","Open")</f>
        <v>Open</v>
      </c>
      <c r="G40" s="27"/>
    </row>
    <row r="41" spans="1:7" x14ac:dyDescent="0.3">
      <c r="A41" s="5">
        <v>34</v>
      </c>
      <c r="B41" s="4" t="s">
        <v>667</v>
      </c>
      <c r="C41" s="5">
        <v>205</v>
      </c>
      <c r="D41" s="4" t="s">
        <v>678</v>
      </c>
      <c r="E41" s="25" t="s">
        <v>3</v>
      </c>
      <c r="F41" s="26" t="str">
        <f>HYPERLINK("https://leetcode.com/problems/isomorphic-strings/","Open")</f>
        <v>Open</v>
      </c>
      <c r="G41" s="27"/>
    </row>
    <row r="42" spans="1:7" x14ac:dyDescent="0.3">
      <c r="A42" s="5">
        <v>35</v>
      </c>
      <c r="B42" s="4" t="s">
        <v>667</v>
      </c>
      <c r="C42" s="5">
        <v>49</v>
      </c>
      <c r="D42" s="4" t="s">
        <v>679</v>
      </c>
      <c r="E42" s="28" t="s">
        <v>4</v>
      </c>
      <c r="F42" s="26" t="str">
        <f>HYPERLINK("https://leetcode.com/problems/group-anagrams/","Open")</f>
        <v>Open</v>
      </c>
      <c r="G42" s="27"/>
    </row>
    <row r="43" spans="1:7" x14ac:dyDescent="0.3">
      <c r="A43" s="5">
        <v>36</v>
      </c>
      <c r="B43" s="4" t="s">
        <v>667</v>
      </c>
      <c r="C43" s="5">
        <v>921</v>
      </c>
      <c r="D43" s="4" t="s">
        <v>680</v>
      </c>
      <c r="E43" s="28" t="s">
        <v>4</v>
      </c>
      <c r="F43" s="26" t="str">
        <f>HYPERLINK("https://leetcode.com/problems/minimum-add-to-make-parentheses-valid/","Open")</f>
        <v>Open</v>
      </c>
      <c r="G43" s="27"/>
    </row>
    <row r="44" spans="1:7" x14ac:dyDescent="0.3">
      <c r="A44" s="5">
        <v>37</v>
      </c>
      <c r="B44" s="4" t="s">
        <v>667</v>
      </c>
      <c r="C44" s="5">
        <v>151</v>
      </c>
      <c r="D44" s="4" t="s">
        <v>681</v>
      </c>
      <c r="E44" s="28" t="s">
        <v>4</v>
      </c>
      <c r="F44" s="26" t="str">
        <f>HYPERLINK("https://leetcode.com/problems/reverse-words-in-a-string/","Open")</f>
        <v>Open</v>
      </c>
      <c r="G44" s="27"/>
    </row>
    <row r="45" spans="1:7" x14ac:dyDescent="0.3">
      <c r="A45" s="5">
        <v>38</v>
      </c>
      <c r="B45" s="4" t="s">
        <v>667</v>
      </c>
      <c r="C45" s="5">
        <v>1781</v>
      </c>
      <c r="D45" s="4" t="s">
        <v>682</v>
      </c>
      <c r="E45" s="28" t="s">
        <v>4</v>
      </c>
      <c r="F45" s="26" t="str">
        <f>HYPERLINK("https://leetcode.com/problems/sum-of-beauty-of-all-substrings/","Open")</f>
        <v>Open</v>
      </c>
      <c r="G45" s="27"/>
    </row>
    <row r="46" spans="1:7" x14ac:dyDescent="0.3">
      <c r="A46" s="5">
        <v>39</v>
      </c>
      <c r="B46" s="4" t="s">
        <v>667</v>
      </c>
      <c r="C46" s="5">
        <v>394</v>
      </c>
      <c r="D46" s="4" t="s">
        <v>683</v>
      </c>
      <c r="E46" s="28" t="s">
        <v>4</v>
      </c>
      <c r="F46" s="26" t="str">
        <f>HYPERLINK("https://leetcode.com/problems/decode-string/","Open")</f>
        <v>Open</v>
      </c>
      <c r="G46" s="27"/>
    </row>
    <row r="47" spans="1:7" x14ac:dyDescent="0.3">
      <c r="A47" s="5">
        <v>40</v>
      </c>
      <c r="B47" s="4" t="s">
        <v>667</v>
      </c>
      <c r="C47" s="5">
        <v>38</v>
      </c>
      <c r="D47" s="4" t="s">
        <v>684</v>
      </c>
      <c r="E47" s="28" t="s">
        <v>4</v>
      </c>
      <c r="F47" s="26" t="str">
        <f>HYPERLINK("https://leetcode.com/problems/count-and-say/","Open")</f>
        <v>Open</v>
      </c>
      <c r="G47" s="27"/>
    </row>
    <row r="48" spans="1:7" x14ac:dyDescent="0.3">
      <c r="A48" s="5">
        <v>41</v>
      </c>
      <c r="B48" s="4" t="s">
        <v>667</v>
      </c>
      <c r="C48" s="5">
        <v>767</v>
      </c>
      <c r="D48" s="4" t="s">
        <v>685</v>
      </c>
      <c r="E48" s="28" t="s">
        <v>4</v>
      </c>
      <c r="F48" s="26" t="str">
        <f>HYPERLINK("https://leetcode.com/problems/reorganize-string/","Open")</f>
        <v>Open</v>
      </c>
      <c r="G48" s="27"/>
    </row>
    <row r="49" spans="1:7" x14ac:dyDescent="0.3">
      <c r="A49" s="5">
        <v>42</v>
      </c>
      <c r="B49" s="4" t="s">
        <v>667</v>
      </c>
      <c r="C49" s="5">
        <v>686</v>
      </c>
      <c r="D49" s="4" t="s">
        <v>686</v>
      </c>
      <c r="E49" s="28" t="s">
        <v>4</v>
      </c>
      <c r="F49" s="26" t="str">
        <f>HYPERLINK("https://leetcode.com/problems/repeated-string-match/","Open")</f>
        <v>Open</v>
      </c>
      <c r="G49" s="27"/>
    </row>
    <row r="50" spans="1:7" x14ac:dyDescent="0.3">
      <c r="A50" s="32" t="s">
        <v>687</v>
      </c>
      <c r="B50" s="32"/>
      <c r="C50" s="32"/>
      <c r="D50" s="32"/>
      <c r="E50" s="32"/>
      <c r="F50" s="32"/>
      <c r="G50" s="32"/>
    </row>
    <row r="51" spans="1:7" x14ac:dyDescent="0.3">
      <c r="A51" s="5">
        <v>43</v>
      </c>
      <c r="B51" s="4" t="s">
        <v>688</v>
      </c>
      <c r="C51" s="5">
        <v>225</v>
      </c>
      <c r="D51" s="4" t="s">
        <v>689</v>
      </c>
      <c r="E51" s="25" t="s">
        <v>3</v>
      </c>
      <c r="F51" s="26" t="str">
        <f>HYPERLINK("https://leetcode.com/problems/implement-stack-using-queues/","Open")</f>
        <v>Open</v>
      </c>
      <c r="G51" s="27"/>
    </row>
    <row r="52" spans="1:7" x14ac:dyDescent="0.3">
      <c r="A52" s="5">
        <v>44</v>
      </c>
      <c r="B52" s="4" t="s">
        <v>688</v>
      </c>
      <c r="C52" s="5">
        <v>232</v>
      </c>
      <c r="D52" s="4" t="s">
        <v>690</v>
      </c>
      <c r="E52" s="25" t="s">
        <v>3</v>
      </c>
      <c r="F52" s="26" t="str">
        <f>HYPERLINK("https://leetcode.com/problems/implement-queue-using-stacks/","Open")</f>
        <v>Open</v>
      </c>
      <c r="G52" s="27"/>
    </row>
    <row r="53" spans="1:7" x14ac:dyDescent="0.3">
      <c r="A53" s="5">
        <v>45</v>
      </c>
      <c r="B53" s="4" t="s">
        <v>688</v>
      </c>
      <c r="C53" s="5">
        <v>20</v>
      </c>
      <c r="D53" s="4" t="s">
        <v>691</v>
      </c>
      <c r="E53" s="25" t="s">
        <v>3</v>
      </c>
      <c r="F53" s="26" t="str">
        <f>HYPERLINK("https://leetcode.com/problems/valid-parentheses/","Open")</f>
        <v>Open</v>
      </c>
      <c r="G53" s="27"/>
    </row>
    <row r="54" spans="1:7" x14ac:dyDescent="0.3">
      <c r="A54" s="5">
        <v>46</v>
      </c>
      <c r="B54" s="4" t="s">
        <v>688</v>
      </c>
      <c r="C54" s="5">
        <v>155</v>
      </c>
      <c r="D54" s="4" t="s">
        <v>692</v>
      </c>
      <c r="E54" s="28" t="s">
        <v>4</v>
      </c>
      <c r="F54" s="26" t="str">
        <f>HYPERLINK("https://leetcode.com/problems/min-stack/","Open")</f>
        <v>Open</v>
      </c>
      <c r="G54" s="27"/>
    </row>
    <row r="55" spans="1:7" x14ac:dyDescent="0.3">
      <c r="A55" s="5">
        <v>47</v>
      </c>
      <c r="B55" s="4" t="s">
        <v>688</v>
      </c>
      <c r="C55" s="5">
        <v>1021</v>
      </c>
      <c r="D55" s="4" t="s">
        <v>693</v>
      </c>
      <c r="E55" s="25" t="s">
        <v>3</v>
      </c>
      <c r="F55" s="26" t="str">
        <f>HYPERLINK("https://leetcode.com/problems/remove-outermost-parentheses/","Open")</f>
        <v>Open</v>
      </c>
      <c r="G55" s="27"/>
    </row>
    <row r="56" spans="1:7" x14ac:dyDescent="0.3">
      <c r="A56" s="5">
        <v>48</v>
      </c>
      <c r="B56" s="4" t="s">
        <v>688</v>
      </c>
      <c r="C56" s="5">
        <v>150</v>
      </c>
      <c r="D56" s="4" t="s">
        <v>694</v>
      </c>
      <c r="E56" s="28" t="s">
        <v>4</v>
      </c>
      <c r="F56" s="26" t="str">
        <f>HYPERLINK("https://leetcode.com/problems/evaluate-reverse-polish-notation/","Open")</f>
        <v>Open</v>
      </c>
      <c r="G56" s="27"/>
    </row>
    <row r="57" spans="1:7" x14ac:dyDescent="0.3">
      <c r="A57" s="5">
        <v>49</v>
      </c>
      <c r="B57" s="4" t="s">
        <v>688</v>
      </c>
      <c r="C57" s="5">
        <v>496</v>
      </c>
      <c r="D57" s="4" t="s">
        <v>695</v>
      </c>
      <c r="E57" s="25" t="s">
        <v>3</v>
      </c>
      <c r="F57" s="26" t="str">
        <f>HYPERLINK("https://leetcode.com/problems/next-greater-element-i/","Open")</f>
        <v>Open</v>
      </c>
      <c r="G57" s="27"/>
    </row>
    <row r="58" spans="1:7" x14ac:dyDescent="0.3">
      <c r="A58" s="5">
        <v>50</v>
      </c>
      <c r="B58" s="4" t="s">
        <v>688</v>
      </c>
      <c r="C58" s="5">
        <v>739</v>
      </c>
      <c r="D58" s="4" t="s">
        <v>696</v>
      </c>
      <c r="E58" s="28" t="s">
        <v>4</v>
      </c>
      <c r="F58" s="26" t="str">
        <f>HYPERLINK("https://leetcode.com/problems/daily-temperatures/","Open")</f>
        <v>Open</v>
      </c>
      <c r="G58" s="27"/>
    </row>
    <row r="59" spans="1:7" x14ac:dyDescent="0.3">
      <c r="A59" s="5">
        <v>51</v>
      </c>
      <c r="B59" s="4" t="s">
        <v>688</v>
      </c>
      <c r="C59" s="5">
        <v>503</v>
      </c>
      <c r="D59" s="4" t="s">
        <v>697</v>
      </c>
      <c r="E59" s="28" t="s">
        <v>4</v>
      </c>
      <c r="F59" s="26" t="str">
        <f>HYPERLINK("https://leetcode.com/problems/next-greater-element-ii/","Open")</f>
        <v>Open</v>
      </c>
      <c r="G59" s="27"/>
    </row>
    <row r="60" spans="1:7" x14ac:dyDescent="0.3">
      <c r="A60" s="5">
        <v>52</v>
      </c>
      <c r="B60" s="4" t="s">
        <v>688</v>
      </c>
      <c r="C60" s="5">
        <v>994</v>
      </c>
      <c r="D60" s="4" t="s">
        <v>698</v>
      </c>
      <c r="E60" s="28" t="s">
        <v>4</v>
      </c>
      <c r="F60" s="26" t="str">
        <f>HYPERLINK("https://leetcode.com/problems/rotting-oranges/","Open")</f>
        <v>Open</v>
      </c>
      <c r="G60" s="27"/>
    </row>
    <row r="61" spans="1:7" x14ac:dyDescent="0.3">
      <c r="A61" s="32" t="s">
        <v>699</v>
      </c>
      <c r="B61" s="32"/>
      <c r="C61" s="32"/>
      <c r="D61" s="32"/>
      <c r="E61" s="32"/>
      <c r="F61" s="32"/>
      <c r="G61" s="32"/>
    </row>
    <row r="62" spans="1:7" x14ac:dyDescent="0.3">
      <c r="A62" s="5">
        <v>53</v>
      </c>
      <c r="B62" s="4" t="s">
        <v>217</v>
      </c>
      <c r="C62" s="5">
        <v>69</v>
      </c>
      <c r="D62" s="4" t="s">
        <v>700</v>
      </c>
      <c r="E62" s="25" t="s">
        <v>3</v>
      </c>
      <c r="F62" s="26" t="str">
        <f>HYPERLINK("https://leetcode.com/problems/sqrtx/","Open")</f>
        <v>Open</v>
      </c>
      <c r="G62" s="27"/>
    </row>
    <row r="63" spans="1:7" x14ac:dyDescent="0.3">
      <c r="A63" s="5">
        <v>54</v>
      </c>
      <c r="B63" s="4" t="s">
        <v>217</v>
      </c>
      <c r="C63" s="5">
        <v>374</v>
      </c>
      <c r="D63" s="4" t="s">
        <v>701</v>
      </c>
      <c r="E63" s="25" t="s">
        <v>3</v>
      </c>
      <c r="F63" s="26" t="str">
        <f>HYPERLINK("https://leetcode.com/problems/guess-number-higher-or-lower/","Open")</f>
        <v>Open</v>
      </c>
      <c r="G63" s="27"/>
    </row>
    <row r="64" spans="1:7" x14ac:dyDescent="0.3">
      <c r="A64" s="5">
        <v>55</v>
      </c>
      <c r="B64" s="4" t="s">
        <v>217</v>
      </c>
      <c r="C64" s="5">
        <v>33</v>
      </c>
      <c r="D64" s="4" t="s">
        <v>702</v>
      </c>
      <c r="E64" s="28" t="s">
        <v>4</v>
      </c>
      <c r="F64" s="26" t="str">
        <f>HYPERLINK("https://leetcode.com/problems/search-in-rotated-sorted-array/","Open")</f>
        <v>Open</v>
      </c>
      <c r="G64" s="27"/>
    </row>
    <row r="65" spans="1:7" x14ac:dyDescent="0.3">
      <c r="A65" s="5">
        <v>56</v>
      </c>
      <c r="B65" s="4" t="s">
        <v>217</v>
      </c>
      <c r="C65" s="5">
        <v>278</v>
      </c>
      <c r="D65" s="4" t="s">
        <v>703</v>
      </c>
      <c r="E65" s="25" t="s">
        <v>3</v>
      </c>
      <c r="F65" s="26" t="str">
        <f>HYPERLINK("https://leetcode.com/problems/first-bad-version/","Open")</f>
        <v>Open</v>
      </c>
      <c r="G65" s="27"/>
    </row>
    <row r="66" spans="1:7" x14ac:dyDescent="0.3">
      <c r="A66" s="5">
        <v>57</v>
      </c>
      <c r="B66" s="4" t="s">
        <v>217</v>
      </c>
      <c r="C66" s="5">
        <v>162</v>
      </c>
      <c r="D66" s="4" t="s">
        <v>704</v>
      </c>
      <c r="E66" s="28" t="s">
        <v>4</v>
      </c>
      <c r="F66" s="26" t="str">
        <f>HYPERLINK("https://leetcode.com/problems/find-peak-element/","Open")</f>
        <v>Open</v>
      </c>
      <c r="G66" s="27"/>
    </row>
    <row r="67" spans="1:7" x14ac:dyDescent="0.3">
      <c r="A67" s="5">
        <v>58</v>
      </c>
      <c r="B67" s="4" t="s">
        <v>217</v>
      </c>
      <c r="C67" s="5">
        <v>153</v>
      </c>
      <c r="D67" s="4" t="s">
        <v>705</v>
      </c>
      <c r="E67" s="28" t="s">
        <v>4</v>
      </c>
      <c r="F67" s="26" t="str">
        <f>HYPERLINK("https://leetcode.com/problems/find-minimum-in-rotated-sorted-array/","Open")</f>
        <v>Open</v>
      </c>
      <c r="G67" s="27"/>
    </row>
    <row r="68" spans="1:7" x14ac:dyDescent="0.3">
      <c r="A68" s="5">
        <v>59</v>
      </c>
      <c r="B68" s="4" t="s">
        <v>217</v>
      </c>
      <c r="C68" s="5">
        <v>34</v>
      </c>
      <c r="D68" s="4" t="s">
        <v>706</v>
      </c>
      <c r="E68" s="28" t="s">
        <v>4</v>
      </c>
      <c r="F68" s="26" t="str">
        <f>HYPERLINK("https://leetcode.com/problems/find-first-and-last-position-of-element-in-sorted-array/","Open")</f>
        <v>Open</v>
      </c>
      <c r="G68" s="27"/>
    </row>
    <row r="69" spans="1:7" x14ac:dyDescent="0.3">
      <c r="A69" s="5">
        <v>60</v>
      </c>
      <c r="B69" s="4" t="s">
        <v>217</v>
      </c>
      <c r="C69" s="5">
        <v>852</v>
      </c>
      <c r="D69" s="4" t="s">
        <v>707</v>
      </c>
      <c r="E69" s="28" t="s">
        <v>4</v>
      </c>
      <c r="F69" s="26" t="str">
        <f>HYPERLINK("https://leetcode.com/problems/peak-index-in-a-mountain-array/","Open")</f>
        <v>Open</v>
      </c>
      <c r="G69" s="27"/>
    </row>
    <row r="70" spans="1:7" x14ac:dyDescent="0.3">
      <c r="A70" s="5">
        <v>61</v>
      </c>
      <c r="B70" s="4" t="s">
        <v>217</v>
      </c>
      <c r="C70" s="5">
        <v>540</v>
      </c>
      <c r="D70" s="4" t="s">
        <v>708</v>
      </c>
      <c r="E70" s="28" t="s">
        <v>4</v>
      </c>
      <c r="F70" s="26" t="str">
        <f>HYPERLINK("https://leetcode.com/problems/single-element-in-a-sorted-array/","Open")</f>
        <v>Open</v>
      </c>
      <c r="G70" s="27"/>
    </row>
    <row r="71" spans="1:7" x14ac:dyDescent="0.3">
      <c r="A71" s="5">
        <v>62</v>
      </c>
      <c r="B71" s="4" t="s">
        <v>217</v>
      </c>
      <c r="C71" s="5">
        <v>658</v>
      </c>
      <c r="D71" s="4" t="s">
        <v>709</v>
      </c>
      <c r="E71" s="28" t="s">
        <v>4</v>
      </c>
      <c r="F71" s="26" t="str">
        <f>HYPERLINK("https://leetcode.com/problems/find-k-closest-elements/","Open")</f>
        <v>Open</v>
      </c>
      <c r="G71" s="27"/>
    </row>
    <row r="72" spans="1:7" x14ac:dyDescent="0.3">
      <c r="A72" s="32" t="s">
        <v>710</v>
      </c>
      <c r="B72" s="32"/>
      <c r="C72" s="32"/>
      <c r="D72" s="32"/>
      <c r="E72" s="32"/>
      <c r="F72" s="32"/>
      <c r="G72" s="32"/>
    </row>
    <row r="73" spans="1:7" x14ac:dyDescent="0.3">
      <c r="A73" s="5">
        <v>63</v>
      </c>
      <c r="B73" s="4" t="s">
        <v>711</v>
      </c>
      <c r="C73" s="5">
        <v>1</v>
      </c>
      <c r="D73" s="4" t="s">
        <v>712</v>
      </c>
      <c r="E73" s="25" t="s">
        <v>3</v>
      </c>
      <c r="F73" s="26" t="str">
        <f>HYPERLINK("https://leetcode.com/problems/two-sum/","Open")</f>
        <v>Open</v>
      </c>
      <c r="G73" s="27"/>
    </row>
    <row r="74" spans="1:7" x14ac:dyDescent="0.3">
      <c r="A74" s="5">
        <v>64</v>
      </c>
      <c r="B74" s="4" t="s">
        <v>711</v>
      </c>
      <c r="C74" s="5">
        <v>167</v>
      </c>
      <c r="D74" s="4" t="s">
        <v>713</v>
      </c>
      <c r="E74" s="28" t="s">
        <v>4</v>
      </c>
      <c r="F74" s="26" t="str">
        <f>HYPERLINK("https://leetcode.com/problems/two-sum-ii-input-array-is-sorted/","Open")</f>
        <v>Open</v>
      </c>
      <c r="G74" s="27"/>
    </row>
    <row r="75" spans="1:7" x14ac:dyDescent="0.3">
      <c r="A75" s="5">
        <v>65</v>
      </c>
      <c r="B75" s="4" t="s">
        <v>711</v>
      </c>
      <c r="C75" s="5">
        <v>392</v>
      </c>
      <c r="D75" s="4" t="s">
        <v>714</v>
      </c>
      <c r="E75" s="25" t="s">
        <v>3</v>
      </c>
      <c r="F75" s="26" t="str">
        <f>HYPERLINK("https://leetcode.com/problems/is-subsequence/","Open")</f>
        <v>Open</v>
      </c>
      <c r="G75" s="27"/>
    </row>
    <row r="76" spans="1:7" x14ac:dyDescent="0.3">
      <c r="A76" s="5">
        <v>66</v>
      </c>
      <c r="B76" s="4" t="s">
        <v>711</v>
      </c>
      <c r="C76" s="5">
        <v>28</v>
      </c>
      <c r="D76" s="4" t="s">
        <v>715</v>
      </c>
      <c r="E76" s="25" t="s">
        <v>3</v>
      </c>
      <c r="F76" s="26" t="str">
        <f>HYPERLINK("https://leetcode.com/problems/find-the-index-of-the-first-occurrence-in-a-string/","Open")</f>
        <v>Open</v>
      </c>
      <c r="G76" s="27"/>
    </row>
    <row r="77" spans="1:7" x14ac:dyDescent="0.3">
      <c r="A77" s="5">
        <v>67</v>
      </c>
      <c r="B77" s="4" t="s">
        <v>711</v>
      </c>
      <c r="C77" s="5">
        <v>11</v>
      </c>
      <c r="D77" s="4" t="s">
        <v>716</v>
      </c>
      <c r="E77" s="28" t="s">
        <v>4</v>
      </c>
      <c r="F77" s="26" t="str">
        <f>HYPERLINK("https://leetcode.com/problems/container-with-most-water/","Open")</f>
        <v>Open</v>
      </c>
      <c r="G77" s="27"/>
    </row>
    <row r="78" spans="1:7" x14ac:dyDescent="0.3">
      <c r="A78" s="5">
        <v>68</v>
      </c>
      <c r="B78" s="4" t="s">
        <v>711</v>
      </c>
      <c r="C78" s="5">
        <v>15</v>
      </c>
      <c r="D78" s="4" t="s">
        <v>717</v>
      </c>
      <c r="E78" s="28" t="s">
        <v>4</v>
      </c>
      <c r="F78" s="26" t="str">
        <f>HYPERLINK("https://leetcode.com/problems/3sum/","Open")</f>
        <v>Open</v>
      </c>
      <c r="G78" s="27"/>
    </row>
    <row r="79" spans="1:7" x14ac:dyDescent="0.3">
      <c r="A79" s="5">
        <v>69</v>
      </c>
      <c r="B79" s="4" t="s">
        <v>711</v>
      </c>
      <c r="C79" s="5">
        <v>42</v>
      </c>
      <c r="D79" s="4" t="s">
        <v>718</v>
      </c>
      <c r="E79" s="29" t="s">
        <v>5</v>
      </c>
      <c r="F79" s="26" t="str">
        <f>HYPERLINK("https://leetcode.com/problems/trapping-rain-water/","Open")</f>
        <v>Open</v>
      </c>
      <c r="G79" s="27"/>
    </row>
    <row r="80" spans="1:7" x14ac:dyDescent="0.3">
      <c r="A80" s="5">
        <v>70</v>
      </c>
      <c r="B80" s="4" t="s">
        <v>711</v>
      </c>
      <c r="C80" s="5">
        <v>3</v>
      </c>
      <c r="D80" s="4" t="s">
        <v>719</v>
      </c>
      <c r="E80" s="28" t="s">
        <v>4</v>
      </c>
      <c r="F80" s="26" t="str">
        <f>HYPERLINK("https://leetcode.com/problems/longest-substring-without-repeating-characters/","Open")</f>
        <v>Open</v>
      </c>
      <c r="G80" s="27"/>
    </row>
    <row r="81" spans="1:7" x14ac:dyDescent="0.3">
      <c r="A81" s="5">
        <v>71</v>
      </c>
      <c r="B81" s="4" t="s">
        <v>711</v>
      </c>
      <c r="C81" s="5">
        <v>424</v>
      </c>
      <c r="D81" s="4" t="s">
        <v>720</v>
      </c>
      <c r="E81" s="28" t="s">
        <v>4</v>
      </c>
      <c r="F81" s="26" t="str">
        <f>HYPERLINK("https://leetcode.com/problems/longest-repeating-character-replacement/","Open")</f>
        <v>Open</v>
      </c>
      <c r="G81" s="27"/>
    </row>
    <row r="82" spans="1:7" x14ac:dyDescent="0.3">
      <c r="A82" s="5">
        <v>72</v>
      </c>
      <c r="B82" s="4" t="s">
        <v>711</v>
      </c>
      <c r="C82" s="5">
        <v>567</v>
      </c>
      <c r="D82" s="4" t="s">
        <v>721</v>
      </c>
      <c r="E82" s="28" t="s">
        <v>4</v>
      </c>
      <c r="F82" s="26" t="str">
        <f>HYPERLINK("https://leetcode.com/problems/permutation-in-string/","Open")</f>
        <v>Open</v>
      </c>
      <c r="G82" s="27"/>
    </row>
    <row r="83" spans="1:7" x14ac:dyDescent="0.3">
      <c r="A83" s="5">
        <v>73</v>
      </c>
      <c r="B83" s="4" t="s">
        <v>711</v>
      </c>
      <c r="C83" s="5">
        <v>239</v>
      </c>
      <c r="D83" s="4" t="s">
        <v>722</v>
      </c>
      <c r="E83" s="29" t="s">
        <v>5</v>
      </c>
      <c r="F83" s="26" t="str">
        <f>HYPERLINK("https://leetcode.com/problems/sliding-window-maximum/","Open")</f>
        <v>Open</v>
      </c>
      <c r="G83" s="27"/>
    </row>
    <row r="84" spans="1:7" x14ac:dyDescent="0.3">
      <c r="A84" s="32" t="s">
        <v>723</v>
      </c>
      <c r="B84" s="32"/>
      <c r="C84" s="32"/>
      <c r="D84" s="32"/>
      <c r="E84" s="32"/>
      <c r="F84" s="32"/>
      <c r="G84" s="32"/>
    </row>
    <row r="85" spans="1:7" x14ac:dyDescent="0.3">
      <c r="A85" s="5">
        <v>74</v>
      </c>
      <c r="B85" s="4" t="s">
        <v>295</v>
      </c>
      <c r="C85" s="5">
        <v>144</v>
      </c>
      <c r="D85" s="4" t="s">
        <v>724</v>
      </c>
      <c r="E85" s="25" t="s">
        <v>3</v>
      </c>
      <c r="F85" s="26" t="str">
        <f>HYPERLINK("https://leetcode.com/problems/binary-tree-preorder-traversal/","Open")</f>
        <v>Open</v>
      </c>
      <c r="G85" s="27"/>
    </row>
    <row r="86" spans="1:7" x14ac:dyDescent="0.3">
      <c r="A86" s="5">
        <v>75</v>
      </c>
      <c r="B86" s="4" t="s">
        <v>295</v>
      </c>
      <c r="C86" s="5">
        <v>94</v>
      </c>
      <c r="D86" s="4" t="s">
        <v>725</v>
      </c>
      <c r="E86" s="25" t="s">
        <v>3</v>
      </c>
      <c r="F86" s="26" t="str">
        <f>HYPERLINK("https://leetcode.com/problems/binary-tree-inorder-traversal/","Open")</f>
        <v>Open</v>
      </c>
      <c r="G86" s="27"/>
    </row>
    <row r="87" spans="1:7" x14ac:dyDescent="0.3">
      <c r="A87" s="5">
        <v>76</v>
      </c>
      <c r="B87" s="4" t="s">
        <v>295</v>
      </c>
      <c r="C87" s="5">
        <v>145</v>
      </c>
      <c r="D87" s="4" t="s">
        <v>726</v>
      </c>
      <c r="E87" s="25" t="s">
        <v>3</v>
      </c>
      <c r="F87" s="26" t="str">
        <f>HYPERLINK("https://leetcode.com/problems/binary-tree-postorder-traversal/","Open")</f>
        <v>Open</v>
      </c>
      <c r="G87" s="27"/>
    </row>
    <row r="88" spans="1:7" x14ac:dyDescent="0.3">
      <c r="A88" s="5">
        <v>77</v>
      </c>
      <c r="B88" s="4" t="s">
        <v>295</v>
      </c>
      <c r="C88" s="5">
        <v>102</v>
      </c>
      <c r="D88" s="4" t="s">
        <v>727</v>
      </c>
      <c r="E88" s="28" t="s">
        <v>4</v>
      </c>
      <c r="F88" s="26" t="str">
        <f>HYPERLINK("https://leetcode.com/problems/binary-tree-level-order-traversal/","Open")</f>
        <v>Open</v>
      </c>
      <c r="G88" s="27"/>
    </row>
    <row r="89" spans="1:7" x14ac:dyDescent="0.3">
      <c r="A89" s="5">
        <v>78</v>
      </c>
      <c r="B89" s="4" t="s">
        <v>295</v>
      </c>
      <c r="C89" s="5">
        <v>104</v>
      </c>
      <c r="D89" s="4" t="s">
        <v>728</v>
      </c>
      <c r="E89" s="25" t="s">
        <v>3</v>
      </c>
      <c r="F89" s="26" t="str">
        <f>HYPERLINK("https://leetcode.com/problems/maximum-depth-of-binary-tree/","Open")</f>
        <v>Open</v>
      </c>
      <c r="G89" s="27"/>
    </row>
    <row r="90" spans="1:7" x14ac:dyDescent="0.3">
      <c r="A90" s="5">
        <v>79</v>
      </c>
      <c r="B90" s="4" t="s">
        <v>295</v>
      </c>
      <c r="C90" s="5">
        <v>112</v>
      </c>
      <c r="D90" s="4" t="s">
        <v>729</v>
      </c>
      <c r="E90" s="25" t="s">
        <v>3</v>
      </c>
      <c r="F90" s="26" t="str">
        <f>HYPERLINK("https://leetcode.com/problems/path-sum/","Open")</f>
        <v>Open</v>
      </c>
      <c r="G90" s="27"/>
    </row>
    <row r="91" spans="1:7" x14ac:dyDescent="0.3">
      <c r="A91" s="5">
        <v>80</v>
      </c>
      <c r="B91" s="4" t="s">
        <v>295</v>
      </c>
      <c r="C91" s="5">
        <v>101</v>
      </c>
      <c r="D91" s="4" t="s">
        <v>730</v>
      </c>
      <c r="E91" s="25" t="s">
        <v>3</v>
      </c>
      <c r="F91" s="26" t="str">
        <f>HYPERLINK("https://leetcode.com/problems/symmetric-tree/","Open")</f>
        <v>Open</v>
      </c>
      <c r="G91" s="27"/>
    </row>
    <row r="92" spans="1:7" x14ac:dyDescent="0.3">
      <c r="A92" s="5">
        <v>81</v>
      </c>
      <c r="B92" s="4" t="s">
        <v>295</v>
      </c>
      <c r="C92" s="5">
        <v>226</v>
      </c>
      <c r="D92" s="4" t="s">
        <v>731</v>
      </c>
      <c r="E92" s="25" t="s">
        <v>3</v>
      </c>
      <c r="F92" s="26" t="str">
        <f>HYPERLINK("https://leetcode.com/problems/invert-binary-tree/","Open")</f>
        <v>Open</v>
      </c>
      <c r="G92" s="27"/>
    </row>
    <row r="93" spans="1:7" x14ac:dyDescent="0.3">
      <c r="A93" s="5">
        <v>82</v>
      </c>
      <c r="B93" s="4" t="s">
        <v>295</v>
      </c>
      <c r="C93" s="5">
        <v>100</v>
      </c>
      <c r="D93" s="4" t="s">
        <v>732</v>
      </c>
      <c r="E93" s="25" t="s">
        <v>3</v>
      </c>
      <c r="F93" s="26" t="str">
        <f>HYPERLINK("https://leetcode.com/problems/same-tree/","Open")</f>
        <v>Open</v>
      </c>
      <c r="G93" s="27"/>
    </row>
    <row r="94" spans="1:7" x14ac:dyDescent="0.3">
      <c r="A94" s="5">
        <v>83</v>
      </c>
      <c r="B94" s="4" t="s">
        <v>295</v>
      </c>
      <c r="C94" s="5">
        <v>110</v>
      </c>
      <c r="D94" s="4" t="s">
        <v>733</v>
      </c>
      <c r="E94" s="25" t="s">
        <v>3</v>
      </c>
      <c r="F94" s="26" t="str">
        <f>HYPERLINK("https://leetcode.com/problems/balanced-binary-tree/","Open")</f>
        <v>Open</v>
      </c>
      <c r="G94" s="27"/>
    </row>
    <row r="95" spans="1:7" x14ac:dyDescent="0.3">
      <c r="A95" s="5">
        <v>84</v>
      </c>
      <c r="B95" s="4" t="s">
        <v>295</v>
      </c>
      <c r="C95" s="5">
        <v>543</v>
      </c>
      <c r="D95" s="4" t="s">
        <v>734</v>
      </c>
      <c r="E95" s="25" t="s">
        <v>3</v>
      </c>
      <c r="F95" s="26" t="str">
        <f>HYPERLINK("https://leetcode.com/problems/diameter-of-binary-tree/","Open")</f>
        <v>Open</v>
      </c>
      <c r="G95" s="27"/>
    </row>
    <row r="96" spans="1:7" x14ac:dyDescent="0.3">
      <c r="A96" s="5">
        <v>85</v>
      </c>
      <c r="B96" s="4" t="s">
        <v>295</v>
      </c>
      <c r="C96" s="5">
        <v>103</v>
      </c>
      <c r="D96" s="4" t="s">
        <v>735</v>
      </c>
      <c r="E96" s="28" t="s">
        <v>4</v>
      </c>
      <c r="F96" s="26" t="str">
        <f>HYPERLINK("https://leetcode.com/problems/binary-tree-zigzag-level-order-traversal/","Open")</f>
        <v>Open</v>
      </c>
      <c r="G96" s="27"/>
    </row>
    <row r="97" spans="1:7" x14ac:dyDescent="0.3">
      <c r="A97" s="5">
        <v>86</v>
      </c>
      <c r="B97" s="4" t="s">
        <v>295</v>
      </c>
      <c r="C97" s="5">
        <v>572</v>
      </c>
      <c r="D97" s="4" t="s">
        <v>736</v>
      </c>
      <c r="E97" s="25" t="s">
        <v>3</v>
      </c>
      <c r="F97" s="26" t="str">
        <f>HYPERLINK("https://leetcode.com/problems/subtree-of-another-tree/","Open")</f>
        <v>Open</v>
      </c>
      <c r="G97" s="27"/>
    </row>
    <row r="98" spans="1:7" x14ac:dyDescent="0.3">
      <c r="A98" s="5">
        <v>87</v>
      </c>
      <c r="B98" s="4" t="s">
        <v>295</v>
      </c>
      <c r="C98" s="5">
        <v>236</v>
      </c>
      <c r="D98" s="4" t="s">
        <v>737</v>
      </c>
      <c r="E98" s="28" t="s">
        <v>4</v>
      </c>
      <c r="F98" s="26" t="str">
        <f>HYPERLINK("https://leetcode.com/problems/lowest-common-ancestor-of-a-binary-tree/","Open")</f>
        <v>Open</v>
      </c>
      <c r="G98" s="27"/>
    </row>
    <row r="99" spans="1:7" x14ac:dyDescent="0.3">
      <c r="A99" s="5">
        <v>88</v>
      </c>
      <c r="B99" s="4" t="s">
        <v>295</v>
      </c>
      <c r="C99" s="5">
        <v>199</v>
      </c>
      <c r="D99" s="4" t="s">
        <v>738</v>
      </c>
      <c r="E99" s="28" t="s">
        <v>4</v>
      </c>
      <c r="F99" s="26" t="str">
        <f>HYPERLINK("https://leetcode.com/problems/binary-tree-right-side-view/","Open")</f>
        <v>Open</v>
      </c>
      <c r="G99" s="27"/>
    </row>
    <row r="100" spans="1:7" x14ac:dyDescent="0.3">
      <c r="A100" s="5">
        <v>89</v>
      </c>
      <c r="B100" s="4" t="s">
        <v>295</v>
      </c>
      <c r="C100" s="5">
        <v>1448</v>
      </c>
      <c r="D100" s="4" t="s">
        <v>739</v>
      </c>
      <c r="E100" s="28" t="s">
        <v>4</v>
      </c>
      <c r="F100" s="26" t="str">
        <f>HYPERLINK("https://leetcode.com/problems/count-good-nodes-in-binary-tree/","Open")</f>
        <v>Open</v>
      </c>
      <c r="G100" s="27"/>
    </row>
    <row r="101" spans="1:7" x14ac:dyDescent="0.3">
      <c r="A101" s="5">
        <v>90</v>
      </c>
      <c r="B101" s="4" t="s">
        <v>295</v>
      </c>
      <c r="C101" s="5">
        <v>116</v>
      </c>
      <c r="D101" s="4" t="s">
        <v>740</v>
      </c>
      <c r="E101" s="28" t="s">
        <v>4</v>
      </c>
      <c r="F101" s="26" t="str">
        <f>HYPERLINK("https://leetcode.com/problems/populating-next-right-pointers-in-each-node/","Open")</f>
        <v>Open</v>
      </c>
      <c r="G101" s="27"/>
    </row>
    <row r="102" spans="1:7" x14ac:dyDescent="0.3">
      <c r="A102" s="5">
        <v>91</v>
      </c>
      <c r="B102" s="4" t="s">
        <v>295</v>
      </c>
      <c r="C102" s="5">
        <v>124</v>
      </c>
      <c r="D102" s="4" t="s">
        <v>741</v>
      </c>
      <c r="E102" s="29" t="s">
        <v>5</v>
      </c>
      <c r="F102" s="26" t="str">
        <f>HYPERLINK("https://leetcode.com/problems/binary-tree-maximum-path-sum/","Open")</f>
        <v>Open</v>
      </c>
      <c r="G102" s="27"/>
    </row>
    <row r="103" spans="1:7" x14ac:dyDescent="0.3">
      <c r="A103" s="32" t="s">
        <v>742</v>
      </c>
      <c r="B103" s="32"/>
      <c r="C103" s="32"/>
      <c r="D103" s="32"/>
      <c r="E103" s="32"/>
      <c r="F103" s="32"/>
      <c r="G103" s="32"/>
    </row>
    <row r="104" spans="1:7" x14ac:dyDescent="0.3">
      <c r="A104" s="5">
        <v>92</v>
      </c>
      <c r="B104" s="4" t="s">
        <v>743</v>
      </c>
      <c r="C104" s="5">
        <v>98</v>
      </c>
      <c r="D104" s="4" t="s">
        <v>744</v>
      </c>
      <c r="E104" s="28" t="s">
        <v>4</v>
      </c>
      <c r="F104" s="26" t="str">
        <f>HYPERLINK("https://leetcode.com/problems/validate-binary-search-tree/","Open")</f>
        <v>Open</v>
      </c>
      <c r="G104" s="27"/>
    </row>
    <row r="105" spans="1:7" x14ac:dyDescent="0.3">
      <c r="A105" s="5">
        <v>93</v>
      </c>
      <c r="B105" s="4" t="s">
        <v>743</v>
      </c>
      <c r="C105" s="5">
        <v>700</v>
      </c>
      <c r="D105" s="4" t="s">
        <v>745</v>
      </c>
      <c r="E105" s="25" t="s">
        <v>3</v>
      </c>
      <c r="F105" s="26" t="str">
        <f>HYPERLINK("https://leetcode.com/problems/search-in-a-binary-search-tree/","Open")</f>
        <v>Open</v>
      </c>
      <c r="G105" s="27"/>
    </row>
    <row r="106" spans="1:7" x14ac:dyDescent="0.3">
      <c r="A106" s="5">
        <v>94</v>
      </c>
      <c r="B106" s="4" t="s">
        <v>743</v>
      </c>
      <c r="C106" s="5">
        <v>701</v>
      </c>
      <c r="D106" s="4" t="s">
        <v>746</v>
      </c>
      <c r="E106" s="28" t="s">
        <v>4</v>
      </c>
      <c r="F106" s="26" t="str">
        <f>HYPERLINK("https://leetcode.com/problems/insert-into-a-binary-search-tree/","Open")</f>
        <v>Open</v>
      </c>
      <c r="G106" s="27"/>
    </row>
    <row r="107" spans="1:7" x14ac:dyDescent="0.3">
      <c r="A107" s="5">
        <v>95</v>
      </c>
      <c r="B107" s="4" t="s">
        <v>743</v>
      </c>
      <c r="C107" s="5">
        <v>230</v>
      </c>
      <c r="D107" s="4" t="s">
        <v>747</v>
      </c>
      <c r="E107" s="28" t="s">
        <v>4</v>
      </c>
      <c r="F107" s="26" t="str">
        <f>HYPERLINK("https://leetcode.com/problems/kth-smallest-element-in-a-bst/","Open")</f>
        <v>Open</v>
      </c>
      <c r="G107" s="27"/>
    </row>
    <row r="108" spans="1:7" x14ac:dyDescent="0.3">
      <c r="A108" s="5">
        <v>96</v>
      </c>
      <c r="B108" s="4" t="s">
        <v>743</v>
      </c>
      <c r="C108" s="5">
        <v>235</v>
      </c>
      <c r="D108" s="4" t="s">
        <v>748</v>
      </c>
      <c r="E108" s="28" t="s">
        <v>4</v>
      </c>
      <c r="F108" s="26" t="str">
        <f>HYPERLINK("https://leetcode.com/problems/lowest-common-ancestor-of-a-binary-search-tree/","Open")</f>
        <v>Open</v>
      </c>
      <c r="G108" s="27"/>
    </row>
    <row r="109" spans="1:7" x14ac:dyDescent="0.3">
      <c r="A109" s="32" t="s">
        <v>749</v>
      </c>
      <c r="B109" s="32"/>
      <c r="C109" s="32"/>
      <c r="D109" s="32"/>
      <c r="E109" s="32"/>
      <c r="F109" s="32"/>
      <c r="G109" s="32"/>
    </row>
    <row r="110" spans="1:7" x14ac:dyDescent="0.3">
      <c r="A110" s="5">
        <v>97</v>
      </c>
      <c r="B110" s="4" t="s">
        <v>750</v>
      </c>
      <c r="C110" s="5">
        <v>215</v>
      </c>
      <c r="D110" s="4" t="s">
        <v>751</v>
      </c>
      <c r="E110" s="28" t="s">
        <v>4</v>
      </c>
      <c r="F110" s="26" t="str">
        <f>HYPERLINK("https://leetcode.com/problems/kth-largest-element-in-an-array/","Open")</f>
        <v>Open</v>
      </c>
      <c r="G110" s="27"/>
    </row>
    <row r="111" spans="1:7" x14ac:dyDescent="0.3">
      <c r="A111" s="5">
        <v>98</v>
      </c>
      <c r="B111" s="4" t="s">
        <v>750</v>
      </c>
      <c r="C111" s="5">
        <v>703</v>
      </c>
      <c r="D111" s="4" t="s">
        <v>752</v>
      </c>
      <c r="E111" s="25" t="s">
        <v>3</v>
      </c>
      <c r="F111" s="26" t="str">
        <f>HYPERLINK("https://leetcode.com/problems/kth-largest-element-in-a-stream/","Open")</f>
        <v>Open</v>
      </c>
      <c r="G111" s="27"/>
    </row>
    <row r="112" spans="1:7" x14ac:dyDescent="0.3">
      <c r="A112" s="5">
        <v>99</v>
      </c>
      <c r="B112" s="4" t="s">
        <v>750</v>
      </c>
      <c r="C112" s="5">
        <v>1046</v>
      </c>
      <c r="D112" s="4" t="s">
        <v>753</v>
      </c>
      <c r="E112" s="25" t="s">
        <v>3</v>
      </c>
      <c r="F112" s="26" t="str">
        <f>HYPERLINK("https://leetcode.com/problems/last-stone-weight/","Open")</f>
        <v>Open</v>
      </c>
      <c r="G112" s="27"/>
    </row>
    <row r="113" spans="1:7" x14ac:dyDescent="0.3">
      <c r="A113" s="5">
        <v>100</v>
      </c>
      <c r="B113" s="4" t="s">
        <v>750</v>
      </c>
      <c r="C113" s="5">
        <v>347</v>
      </c>
      <c r="D113" s="4" t="s">
        <v>754</v>
      </c>
      <c r="E113" s="28" t="s">
        <v>4</v>
      </c>
      <c r="F113" s="26" t="str">
        <f>HYPERLINK("https://leetcode.com/problems/top-k-frequent-elements/","Open")</f>
        <v>Open</v>
      </c>
      <c r="G113" s="27"/>
    </row>
    <row r="114" spans="1:7" x14ac:dyDescent="0.3">
      <c r="A114" s="5">
        <v>101</v>
      </c>
      <c r="B114" s="4" t="s">
        <v>750</v>
      </c>
      <c r="C114" s="5">
        <v>378</v>
      </c>
      <c r="D114" s="4" t="s">
        <v>755</v>
      </c>
      <c r="E114" s="28" t="s">
        <v>4</v>
      </c>
      <c r="F114" s="26" t="str">
        <f>HYPERLINK("https://leetcode.com/problems/kth-smallest-element-in-a-sorted-matrix/","Open")</f>
        <v>Open</v>
      </c>
      <c r="G114" s="27"/>
    </row>
    <row r="115" spans="1:7" x14ac:dyDescent="0.3">
      <c r="A115" s="32" t="s">
        <v>756</v>
      </c>
      <c r="B115" s="32"/>
      <c r="C115" s="32"/>
      <c r="D115" s="32"/>
      <c r="E115" s="32"/>
      <c r="F115" s="32"/>
      <c r="G115" s="32"/>
    </row>
    <row r="116" spans="1:7" x14ac:dyDescent="0.3">
      <c r="A116" s="5">
        <v>102</v>
      </c>
      <c r="B116" s="4" t="s">
        <v>383</v>
      </c>
      <c r="C116" s="5">
        <v>78</v>
      </c>
      <c r="D116" s="4" t="s">
        <v>757</v>
      </c>
      <c r="E116" s="28" t="s">
        <v>4</v>
      </c>
      <c r="F116" s="26" t="str">
        <f>HYPERLINK("https://leetcode.com/problems/subsets/","Open")</f>
        <v>Open</v>
      </c>
      <c r="G116" s="27"/>
    </row>
    <row r="117" spans="1:7" x14ac:dyDescent="0.3">
      <c r="A117" s="5">
        <v>103</v>
      </c>
      <c r="B117" s="4" t="s">
        <v>383</v>
      </c>
      <c r="C117" s="5">
        <v>77</v>
      </c>
      <c r="D117" s="4" t="s">
        <v>758</v>
      </c>
      <c r="E117" s="28" t="s">
        <v>4</v>
      </c>
      <c r="F117" s="26" t="str">
        <f>HYPERLINK("https://leetcode.com/problems/combinations/","Open")</f>
        <v>Open</v>
      </c>
      <c r="G117" s="27"/>
    </row>
    <row r="118" spans="1:7" x14ac:dyDescent="0.3">
      <c r="A118" s="5">
        <v>104</v>
      </c>
      <c r="B118" s="4" t="s">
        <v>383</v>
      </c>
      <c r="C118" s="5">
        <v>46</v>
      </c>
      <c r="D118" s="4" t="s">
        <v>759</v>
      </c>
      <c r="E118" s="28" t="s">
        <v>4</v>
      </c>
      <c r="F118" s="26" t="str">
        <f>HYPERLINK("https://leetcode.com/problems/permutations/","Open")</f>
        <v>Open</v>
      </c>
      <c r="G118" s="27"/>
    </row>
    <row r="119" spans="1:7" x14ac:dyDescent="0.3">
      <c r="A119" s="5">
        <v>105</v>
      </c>
      <c r="B119" s="4" t="s">
        <v>383</v>
      </c>
      <c r="C119" s="5">
        <v>90</v>
      </c>
      <c r="D119" s="4" t="s">
        <v>760</v>
      </c>
      <c r="E119" s="28" t="s">
        <v>4</v>
      </c>
      <c r="F119" s="26" t="str">
        <f>HYPERLINK("https://leetcode.com/problems/subsets-ii/","Open")</f>
        <v>Open</v>
      </c>
      <c r="G119" s="27"/>
    </row>
    <row r="120" spans="1:7" x14ac:dyDescent="0.3">
      <c r="A120" s="5">
        <v>106</v>
      </c>
      <c r="B120" s="4" t="s">
        <v>383</v>
      </c>
      <c r="C120" s="5">
        <v>39</v>
      </c>
      <c r="D120" s="4" t="s">
        <v>761</v>
      </c>
      <c r="E120" s="28" t="s">
        <v>4</v>
      </c>
      <c r="F120" s="26" t="str">
        <f>HYPERLINK("https://leetcode.com/problems/combination-sum/","Open")</f>
        <v>Open</v>
      </c>
      <c r="G120" s="27"/>
    </row>
    <row r="121" spans="1:7" x14ac:dyDescent="0.3">
      <c r="A121" s="5">
        <v>107</v>
      </c>
      <c r="B121" s="4" t="s">
        <v>383</v>
      </c>
      <c r="C121" s="5">
        <v>40</v>
      </c>
      <c r="D121" s="4" t="s">
        <v>762</v>
      </c>
      <c r="E121" s="28" t="s">
        <v>4</v>
      </c>
      <c r="F121" s="26" t="str">
        <f>HYPERLINK("https://leetcode.com/problems/combination-sum-ii/","Open")</f>
        <v>Open</v>
      </c>
      <c r="G121" s="27"/>
    </row>
    <row r="122" spans="1:7" x14ac:dyDescent="0.3">
      <c r="A122" s="5">
        <v>108</v>
      </c>
      <c r="B122" s="4" t="s">
        <v>383</v>
      </c>
      <c r="C122" s="5">
        <v>216</v>
      </c>
      <c r="D122" s="4" t="s">
        <v>763</v>
      </c>
      <c r="E122" s="28" t="s">
        <v>4</v>
      </c>
      <c r="F122" s="26" t="str">
        <f>HYPERLINK("https://leetcode.com/problems/combination-sum-iii/","Open")</f>
        <v>Open</v>
      </c>
      <c r="G122" s="27"/>
    </row>
    <row r="123" spans="1:7" x14ac:dyDescent="0.3">
      <c r="A123" s="5">
        <v>109</v>
      </c>
      <c r="B123" s="4" t="s">
        <v>383</v>
      </c>
      <c r="C123" s="5">
        <v>17</v>
      </c>
      <c r="D123" s="4" t="s">
        <v>764</v>
      </c>
      <c r="E123" s="28" t="s">
        <v>4</v>
      </c>
      <c r="F123" s="26" t="str">
        <f>HYPERLINK("https://leetcode.com/problems/letter-combinations-of-a-phone-number/","Open")</f>
        <v>Open</v>
      </c>
      <c r="G123" s="27"/>
    </row>
    <row r="124" spans="1:7" x14ac:dyDescent="0.3">
      <c r="A124" s="5">
        <v>110</v>
      </c>
      <c r="B124" s="4" t="s">
        <v>383</v>
      </c>
      <c r="C124" s="5">
        <v>47</v>
      </c>
      <c r="D124" s="4" t="s">
        <v>765</v>
      </c>
      <c r="E124" s="28" t="s">
        <v>4</v>
      </c>
      <c r="F124" s="26" t="str">
        <f>HYPERLINK("https://leetcode.com/problems/permutations-ii/","Open")</f>
        <v>Open</v>
      </c>
      <c r="G124" s="27"/>
    </row>
    <row r="125" spans="1:7" x14ac:dyDescent="0.3">
      <c r="A125" s="5">
        <v>111</v>
      </c>
      <c r="B125" s="4" t="s">
        <v>383</v>
      </c>
      <c r="C125" s="5">
        <v>131</v>
      </c>
      <c r="D125" s="4" t="s">
        <v>766</v>
      </c>
      <c r="E125" s="28" t="s">
        <v>4</v>
      </c>
      <c r="F125" s="26" t="str">
        <f>HYPERLINK("https://leetcode.com/problems/palindrome-partitioning/","Open")</f>
        <v>Open</v>
      </c>
      <c r="G125" s="27"/>
    </row>
    <row r="126" spans="1:7" x14ac:dyDescent="0.3">
      <c r="A126" s="5">
        <v>112</v>
      </c>
      <c r="B126" s="4" t="s">
        <v>383</v>
      </c>
      <c r="C126" s="5">
        <v>79</v>
      </c>
      <c r="D126" s="4" t="s">
        <v>767</v>
      </c>
      <c r="E126" s="28" t="s">
        <v>4</v>
      </c>
      <c r="F126" s="26" t="str">
        <f>HYPERLINK("https://leetcode.com/problems/word-search/","Open")</f>
        <v>Open</v>
      </c>
      <c r="G126" s="27"/>
    </row>
    <row r="127" spans="1:7" x14ac:dyDescent="0.3">
      <c r="A127" s="5">
        <v>113</v>
      </c>
      <c r="B127" s="4" t="s">
        <v>383</v>
      </c>
      <c r="C127" s="5">
        <v>51</v>
      </c>
      <c r="D127" s="4" t="s">
        <v>768</v>
      </c>
      <c r="E127" s="29" t="s">
        <v>5</v>
      </c>
      <c r="F127" s="26" t="str">
        <f>HYPERLINK("https://leetcode.com/problems/n-queens/","Open")</f>
        <v>Open</v>
      </c>
      <c r="G127" s="27"/>
    </row>
    <row r="128" spans="1:7" x14ac:dyDescent="0.3">
      <c r="A128" s="32" t="s">
        <v>769</v>
      </c>
      <c r="B128" s="32"/>
      <c r="C128" s="32"/>
      <c r="D128" s="32"/>
      <c r="E128" s="32"/>
      <c r="F128" s="32"/>
      <c r="G128" s="32"/>
    </row>
    <row r="129" spans="1:7" x14ac:dyDescent="0.3">
      <c r="A129" s="5">
        <v>114</v>
      </c>
      <c r="B129" s="4" t="s">
        <v>770</v>
      </c>
      <c r="C129" s="5">
        <v>1029</v>
      </c>
      <c r="D129" s="4" t="s">
        <v>771</v>
      </c>
      <c r="E129" s="28" t="s">
        <v>4</v>
      </c>
      <c r="F129" s="26" t="str">
        <f>HYPERLINK("https://leetcode.com/problems/two-city-scheduling/","Open")</f>
        <v>Open</v>
      </c>
      <c r="G129" s="27"/>
    </row>
    <row r="130" spans="1:7" x14ac:dyDescent="0.3">
      <c r="A130" s="5">
        <v>115</v>
      </c>
      <c r="B130" s="4" t="s">
        <v>770</v>
      </c>
      <c r="C130" s="5">
        <v>455</v>
      </c>
      <c r="D130" s="4" t="s">
        <v>772</v>
      </c>
      <c r="E130" s="25" t="s">
        <v>3</v>
      </c>
      <c r="F130" s="26" t="str">
        <f>HYPERLINK("https://leetcode.com/problems/assign-cookies/","Open")</f>
        <v>Open</v>
      </c>
      <c r="G130" s="27"/>
    </row>
    <row r="131" spans="1:7" x14ac:dyDescent="0.3">
      <c r="A131" s="5">
        <v>116</v>
      </c>
      <c r="B131" s="4" t="s">
        <v>770</v>
      </c>
      <c r="C131" s="5">
        <v>860</v>
      </c>
      <c r="D131" s="4" t="s">
        <v>773</v>
      </c>
      <c r="E131" s="25" t="s">
        <v>3</v>
      </c>
      <c r="F131" s="26" t="str">
        <f>HYPERLINK("https://leetcode.com/problems/lemonade-change/","Open")</f>
        <v>Open</v>
      </c>
      <c r="G131" s="27"/>
    </row>
    <row r="132" spans="1:7" x14ac:dyDescent="0.3">
      <c r="A132" s="5">
        <v>117</v>
      </c>
      <c r="B132" s="4" t="s">
        <v>770</v>
      </c>
      <c r="C132" s="5">
        <v>122</v>
      </c>
      <c r="D132" s="4" t="s">
        <v>774</v>
      </c>
      <c r="E132" s="28" t="s">
        <v>4</v>
      </c>
      <c r="F132" s="26" t="str">
        <f>HYPERLINK("https://leetcode.com/problems/best-time-to-buy-and-sell-stock-ii/","Open")</f>
        <v>Open</v>
      </c>
      <c r="G132" s="27"/>
    </row>
    <row r="133" spans="1:7" x14ac:dyDescent="0.3">
      <c r="A133" s="5">
        <v>118</v>
      </c>
      <c r="B133" s="4" t="s">
        <v>770</v>
      </c>
      <c r="C133" s="5">
        <v>57</v>
      </c>
      <c r="D133" s="4" t="s">
        <v>775</v>
      </c>
      <c r="E133" s="28" t="s">
        <v>4</v>
      </c>
      <c r="F133" s="26" t="str">
        <f>HYPERLINK("https://leetcode.com/problems/insert-interval/","Open")</f>
        <v>Open</v>
      </c>
      <c r="G133" s="27"/>
    </row>
    <row r="134" spans="1:7" x14ac:dyDescent="0.3">
      <c r="A134" s="5">
        <v>119</v>
      </c>
      <c r="B134" s="4" t="s">
        <v>770</v>
      </c>
      <c r="C134" s="5">
        <v>56</v>
      </c>
      <c r="D134" s="4" t="s">
        <v>776</v>
      </c>
      <c r="E134" s="28" t="s">
        <v>4</v>
      </c>
      <c r="F134" s="26" t="str">
        <f>HYPERLINK("https://leetcode.com/problems/merge-intervals/","Open")</f>
        <v>Open</v>
      </c>
      <c r="G134" s="27"/>
    </row>
    <row r="135" spans="1:7" x14ac:dyDescent="0.3">
      <c r="A135" s="5">
        <v>120</v>
      </c>
      <c r="B135" s="4" t="s">
        <v>770</v>
      </c>
      <c r="C135" s="5">
        <v>763</v>
      </c>
      <c r="D135" s="4" t="s">
        <v>777</v>
      </c>
      <c r="E135" s="28" t="s">
        <v>4</v>
      </c>
      <c r="F135" s="26" t="str">
        <f>HYPERLINK("https://leetcode.com/problems/partition-labels/","Open")</f>
        <v>Open</v>
      </c>
      <c r="G135" s="27"/>
    </row>
    <row r="136" spans="1:7" x14ac:dyDescent="0.3">
      <c r="A136" s="5">
        <v>121</v>
      </c>
      <c r="B136" s="4" t="s">
        <v>770</v>
      </c>
      <c r="C136" s="5">
        <v>435</v>
      </c>
      <c r="D136" s="4" t="s">
        <v>778</v>
      </c>
      <c r="E136" s="28" t="s">
        <v>4</v>
      </c>
      <c r="F136" s="26" t="str">
        <f>HYPERLINK("https://leetcode.com/problems/non-overlapping-intervals/","Open")</f>
        <v>Open</v>
      </c>
      <c r="G136" s="27"/>
    </row>
    <row r="137" spans="1:7" x14ac:dyDescent="0.3">
      <c r="A137" s="5">
        <v>122</v>
      </c>
      <c r="B137" s="4" t="s">
        <v>770</v>
      </c>
      <c r="C137" s="5">
        <v>621</v>
      </c>
      <c r="D137" s="4" t="s">
        <v>779</v>
      </c>
      <c r="E137" s="28" t="s">
        <v>4</v>
      </c>
      <c r="F137" s="26" t="str">
        <f>HYPERLINK("https://leetcode.com/problems/task-scheduler/","Open")</f>
        <v>Open</v>
      </c>
      <c r="G137" s="27"/>
    </row>
    <row r="138" spans="1:7" x14ac:dyDescent="0.3">
      <c r="A138" s="5">
        <v>123</v>
      </c>
      <c r="B138" s="4" t="s">
        <v>770</v>
      </c>
      <c r="C138" s="5">
        <v>134</v>
      </c>
      <c r="D138" s="4" t="s">
        <v>780</v>
      </c>
      <c r="E138" s="28" t="s">
        <v>4</v>
      </c>
      <c r="F138" s="26" t="str">
        <f>HYPERLINK("https://leetcode.com/problems/gas-station/","Open")</f>
        <v>Open</v>
      </c>
      <c r="G138" s="27"/>
    </row>
    <row r="139" spans="1:7" x14ac:dyDescent="0.3">
      <c r="A139" s="5">
        <v>124</v>
      </c>
      <c r="B139" s="4" t="s">
        <v>770</v>
      </c>
      <c r="C139" s="5">
        <v>1094</v>
      </c>
      <c r="D139" s="4" t="s">
        <v>781</v>
      </c>
      <c r="E139" s="28" t="s">
        <v>4</v>
      </c>
      <c r="F139" s="26" t="str">
        <f>HYPERLINK("https://leetcode.com/problems/car-pooling/","Open")</f>
        <v>Open</v>
      </c>
      <c r="G139" s="27"/>
    </row>
    <row r="140" spans="1:7" x14ac:dyDescent="0.3">
      <c r="A140" s="5">
        <v>125</v>
      </c>
      <c r="B140" s="4" t="s">
        <v>770</v>
      </c>
      <c r="C140" s="5">
        <v>135</v>
      </c>
      <c r="D140" s="4" t="s">
        <v>782</v>
      </c>
      <c r="E140" s="29" t="s">
        <v>5</v>
      </c>
      <c r="F140" s="26" t="str">
        <f>HYPERLINK("https://leetcode.com/problems/candy/","Open")</f>
        <v>Open</v>
      </c>
      <c r="G140" s="27"/>
    </row>
    <row r="141" spans="1:7" x14ac:dyDescent="0.3">
      <c r="A141" s="32" t="s">
        <v>783</v>
      </c>
      <c r="B141" s="32"/>
      <c r="C141" s="32"/>
      <c r="D141" s="32"/>
      <c r="E141" s="32"/>
      <c r="F141" s="32"/>
      <c r="G141" s="32"/>
    </row>
    <row r="142" spans="1:7" x14ac:dyDescent="0.3">
      <c r="A142" s="5">
        <v>126</v>
      </c>
      <c r="B142" s="4" t="s">
        <v>784</v>
      </c>
      <c r="C142" s="5">
        <v>70</v>
      </c>
      <c r="D142" s="4" t="s">
        <v>785</v>
      </c>
      <c r="E142" s="25" t="s">
        <v>3</v>
      </c>
      <c r="F142" s="26" t="str">
        <f>HYPERLINK("https://leetcode.com/problems/climbing-stairs/","Open")</f>
        <v>Open</v>
      </c>
      <c r="G142" s="27"/>
    </row>
    <row r="143" spans="1:7" x14ac:dyDescent="0.3">
      <c r="A143" s="5">
        <v>127</v>
      </c>
      <c r="B143" s="4" t="s">
        <v>784</v>
      </c>
      <c r="C143" s="5">
        <v>746</v>
      </c>
      <c r="D143" s="4" t="s">
        <v>786</v>
      </c>
      <c r="E143" s="25" t="s">
        <v>3</v>
      </c>
      <c r="F143" s="26" t="str">
        <f>HYPERLINK("https://leetcode.com/problems/min-cost-climbing-stairs/","Open")</f>
        <v>Open</v>
      </c>
      <c r="G143" s="27"/>
    </row>
    <row r="144" spans="1:7" x14ac:dyDescent="0.3">
      <c r="A144" s="5">
        <v>128</v>
      </c>
      <c r="B144" s="4" t="s">
        <v>784</v>
      </c>
      <c r="C144" s="5">
        <v>198</v>
      </c>
      <c r="D144" s="4" t="s">
        <v>787</v>
      </c>
      <c r="E144" s="28" t="s">
        <v>4</v>
      </c>
      <c r="F144" s="26" t="str">
        <f>HYPERLINK("https://leetcode.com/problems/house-robber/","Open")</f>
        <v>Open</v>
      </c>
      <c r="G144" s="27"/>
    </row>
    <row r="145" spans="1:7" x14ac:dyDescent="0.3">
      <c r="A145" s="5">
        <v>129</v>
      </c>
      <c r="B145" s="4" t="s">
        <v>784</v>
      </c>
      <c r="C145" s="5">
        <v>213</v>
      </c>
      <c r="D145" s="4" t="s">
        <v>788</v>
      </c>
      <c r="E145" s="28" t="s">
        <v>4</v>
      </c>
      <c r="F145" s="26" t="str">
        <f>HYPERLINK("https://leetcode.com/problems/house-robber-ii/","Open")</f>
        <v>Open</v>
      </c>
      <c r="G145" s="27"/>
    </row>
    <row r="146" spans="1:7" x14ac:dyDescent="0.3">
      <c r="A146" s="5">
        <v>130</v>
      </c>
      <c r="B146" s="4" t="s">
        <v>784</v>
      </c>
      <c r="C146" s="5">
        <v>322</v>
      </c>
      <c r="D146" s="4" t="s">
        <v>789</v>
      </c>
      <c r="E146" s="28" t="s">
        <v>4</v>
      </c>
      <c r="F146" s="26" t="str">
        <f>HYPERLINK("https://leetcode.com/problems/coin-change/","Open")</f>
        <v>Open</v>
      </c>
      <c r="G146" s="27"/>
    </row>
    <row r="147" spans="1:7" x14ac:dyDescent="0.3">
      <c r="A147" s="5">
        <v>131</v>
      </c>
      <c r="B147" s="4" t="s">
        <v>784</v>
      </c>
      <c r="C147" s="5">
        <v>647</v>
      </c>
      <c r="D147" s="4" t="s">
        <v>790</v>
      </c>
      <c r="E147" s="28" t="s">
        <v>4</v>
      </c>
      <c r="F147" s="26" t="str">
        <f>HYPERLINK("https://leetcode.com/problems/palindromic-substrings/","Open")</f>
        <v>Open</v>
      </c>
      <c r="G147" s="27"/>
    </row>
    <row r="148" spans="1:7" x14ac:dyDescent="0.3">
      <c r="A148" s="5">
        <v>132</v>
      </c>
      <c r="B148" s="4" t="s">
        <v>784</v>
      </c>
      <c r="C148" s="5">
        <v>5</v>
      </c>
      <c r="D148" s="4" t="s">
        <v>791</v>
      </c>
      <c r="E148" s="28" t="s">
        <v>4</v>
      </c>
      <c r="F148" s="26" t="str">
        <f>HYPERLINK("https://leetcode.com/problems/longest-palindromic-substring/","Open")</f>
        <v>Open</v>
      </c>
      <c r="G148" s="27"/>
    </row>
    <row r="149" spans="1:7" x14ac:dyDescent="0.3">
      <c r="A149" s="5">
        <v>133</v>
      </c>
      <c r="B149" s="4" t="s">
        <v>784</v>
      </c>
      <c r="C149" s="5">
        <v>91</v>
      </c>
      <c r="D149" s="4" t="s">
        <v>792</v>
      </c>
      <c r="E149" s="28" t="s">
        <v>4</v>
      </c>
      <c r="F149" s="26" t="str">
        <f>HYPERLINK("https://leetcode.com/problems/decode-ways/","Open")</f>
        <v>Open</v>
      </c>
      <c r="G149" s="27"/>
    </row>
    <row r="150" spans="1:7" x14ac:dyDescent="0.3">
      <c r="A150" s="5">
        <v>134</v>
      </c>
      <c r="B150" s="4" t="s">
        <v>784</v>
      </c>
      <c r="C150" s="5">
        <v>53</v>
      </c>
      <c r="D150" s="4" t="s">
        <v>793</v>
      </c>
      <c r="E150" s="28" t="s">
        <v>4</v>
      </c>
      <c r="F150" s="26" t="str">
        <f>HYPERLINK("https://leetcode.com/problems/maximum-subarray/","Open")</f>
        <v>Open</v>
      </c>
      <c r="G150" s="27"/>
    </row>
    <row r="151" spans="1:7" x14ac:dyDescent="0.3">
      <c r="A151" s="5">
        <v>135</v>
      </c>
      <c r="B151" s="4" t="s">
        <v>784</v>
      </c>
      <c r="C151" s="5">
        <v>152</v>
      </c>
      <c r="D151" s="4" t="s">
        <v>794</v>
      </c>
      <c r="E151" s="28" t="s">
        <v>4</v>
      </c>
      <c r="F151" s="26" t="str">
        <f>HYPERLINK("https://leetcode.com/problems/maximum-product-subarray/","Open")</f>
        <v>Open</v>
      </c>
      <c r="G151" s="27"/>
    </row>
    <row r="152" spans="1:7" x14ac:dyDescent="0.3">
      <c r="A152" s="5">
        <v>136</v>
      </c>
      <c r="B152" s="4" t="s">
        <v>784</v>
      </c>
      <c r="C152" s="5">
        <v>139</v>
      </c>
      <c r="D152" s="4" t="s">
        <v>795</v>
      </c>
      <c r="E152" s="28" t="s">
        <v>4</v>
      </c>
      <c r="F152" s="26" t="str">
        <f>HYPERLINK("https://leetcode.com/problems/word-break/","Open")</f>
        <v>Open</v>
      </c>
      <c r="G152" s="27"/>
    </row>
    <row r="153" spans="1:7" x14ac:dyDescent="0.3">
      <c r="A153" s="5">
        <v>137</v>
      </c>
      <c r="B153" s="4" t="s">
        <v>784</v>
      </c>
      <c r="C153" s="5">
        <v>300</v>
      </c>
      <c r="D153" s="4" t="s">
        <v>796</v>
      </c>
      <c r="E153" s="28" t="s">
        <v>4</v>
      </c>
      <c r="F153" s="26" t="str">
        <f>HYPERLINK("https://leetcode.com/problems/longest-increasing-subsequence/","Open")</f>
        <v>Open</v>
      </c>
      <c r="G153" s="27"/>
    </row>
    <row r="154" spans="1:7" x14ac:dyDescent="0.3">
      <c r="A154" s="5">
        <v>138</v>
      </c>
      <c r="B154" s="4" t="s">
        <v>784</v>
      </c>
      <c r="C154" s="5">
        <v>416</v>
      </c>
      <c r="D154" s="4" t="s">
        <v>797</v>
      </c>
      <c r="E154" s="28" t="s">
        <v>4</v>
      </c>
      <c r="F154" s="26" t="str">
        <f>HYPERLINK("https://leetcode.com/problems/partition-equal-subset-sum/","Open")</f>
        <v>Open</v>
      </c>
      <c r="G154" s="27"/>
    </row>
    <row r="155" spans="1:7" x14ac:dyDescent="0.3">
      <c r="A155" s="5">
        <v>139</v>
      </c>
      <c r="B155" s="4" t="s">
        <v>784</v>
      </c>
      <c r="C155" s="5">
        <v>518</v>
      </c>
      <c r="D155" s="4" t="s">
        <v>798</v>
      </c>
      <c r="E155" s="28" t="s">
        <v>4</v>
      </c>
      <c r="F155" s="26" t="str">
        <f>HYPERLINK("https://leetcode.com/problems/coin-change-ii/","Open")</f>
        <v>Open</v>
      </c>
      <c r="G155" s="27"/>
    </row>
    <row r="156" spans="1:7" x14ac:dyDescent="0.3">
      <c r="A156" s="5">
        <v>140</v>
      </c>
      <c r="B156" s="4" t="s">
        <v>784</v>
      </c>
      <c r="C156" s="5">
        <v>62</v>
      </c>
      <c r="D156" s="4" t="s">
        <v>799</v>
      </c>
      <c r="E156" s="28" t="s">
        <v>4</v>
      </c>
      <c r="F156" s="26" t="str">
        <f>HYPERLINK("https://leetcode.com/problems/unique-paths/","Open")</f>
        <v>Open</v>
      </c>
      <c r="G156" s="27"/>
    </row>
    <row r="157" spans="1:7" x14ac:dyDescent="0.3">
      <c r="A157" s="5">
        <v>141</v>
      </c>
      <c r="B157" s="4" t="s">
        <v>784</v>
      </c>
      <c r="C157" s="5">
        <v>55</v>
      </c>
      <c r="D157" s="4" t="s">
        <v>800</v>
      </c>
      <c r="E157" s="28" t="s">
        <v>4</v>
      </c>
      <c r="F157" s="26" t="str">
        <f>HYPERLINK("https://leetcode.com/problems/jump-game/","Open")</f>
        <v>Open</v>
      </c>
      <c r="G157" s="27"/>
    </row>
    <row r="158" spans="1:7" x14ac:dyDescent="0.3">
      <c r="A158" s="5">
        <v>142</v>
      </c>
      <c r="B158" s="4" t="s">
        <v>784</v>
      </c>
      <c r="C158" s="5">
        <v>45</v>
      </c>
      <c r="D158" s="4" t="s">
        <v>801</v>
      </c>
      <c r="E158" s="28" t="s">
        <v>4</v>
      </c>
      <c r="F158" s="26" t="str">
        <f>HYPERLINK("https://leetcode.com/problems/jump-game-ii/","Open")</f>
        <v>Open</v>
      </c>
      <c r="G158" s="27"/>
    </row>
    <row r="159" spans="1:7" x14ac:dyDescent="0.3">
      <c r="A159" s="5">
        <v>143</v>
      </c>
      <c r="B159" s="4" t="s">
        <v>784</v>
      </c>
      <c r="C159" s="5">
        <v>1547</v>
      </c>
      <c r="D159" s="4" t="s">
        <v>802</v>
      </c>
      <c r="E159" s="29" t="s">
        <v>5</v>
      </c>
      <c r="F159" s="26" t="str">
        <f>HYPERLINK("https://leetcode.com/problems/minimum-cost-to-cut-a-stick/","Open")</f>
        <v>Open</v>
      </c>
      <c r="G159" s="27"/>
    </row>
    <row r="160" spans="1:7" x14ac:dyDescent="0.3">
      <c r="A160" s="5">
        <v>144</v>
      </c>
      <c r="B160" s="4" t="s">
        <v>784</v>
      </c>
      <c r="C160" s="5">
        <v>887</v>
      </c>
      <c r="D160" s="4" t="s">
        <v>803</v>
      </c>
      <c r="E160" s="29" t="s">
        <v>5</v>
      </c>
      <c r="F160" s="26" t="str">
        <f>HYPERLINK("https://leetcode.com/problems/super-egg-drop/","Open")</f>
        <v>Open</v>
      </c>
      <c r="G160" s="27"/>
    </row>
    <row r="161" spans="1:7" x14ac:dyDescent="0.3">
      <c r="A161" s="32" t="s">
        <v>804</v>
      </c>
      <c r="B161" s="32"/>
      <c r="C161" s="32"/>
      <c r="D161" s="32"/>
      <c r="E161" s="32"/>
      <c r="F161" s="32"/>
      <c r="G161" s="32"/>
    </row>
    <row r="162" spans="1:7" x14ac:dyDescent="0.3">
      <c r="A162" s="5">
        <v>145</v>
      </c>
      <c r="B162" s="4" t="s">
        <v>805</v>
      </c>
      <c r="C162" s="5">
        <v>133</v>
      </c>
      <c r="D162" s="4" t="s">
        <v>806</v>
      </c>
      <c r="E162" s="28" t="s">
        <v>4</v>
      </c>
      <c r="F162" s="26" t="str">
        <f>HYPERLINK("https://leetcode.com/problems/clone-graph/","Open")</f>
        <v>Open</v>
      </c>
      <c r="G162" s="27"/>
    </row>
    <row r="163" spans="1:7" x14ac:dyDescent="0.3">
      <c r="A163" s="5">
        <v>146</v>
      </c>
      <c r="B163" s="4" t="s">
        <v>805</v>
      </c>
      <c r="C163" s="5">
        <v>1971</v>
      </c>
      <c r="D163" s="4" t="s">
        <v>807</v>
      </c>
      <c r="E163" s="25" t="s">
        <v>3</v>
      </c>
      <c r="F163" s="26" t="str">
        <f>HYPERLINK("https://leetcode.com/problems/find-if-path-exists-in-graph/","Open")</f>
        <v>Open</v>
      </c>
      <c r="G163" s="27"/>
    </row>
    <row r="164" spans="1:7" x14ac:dyDescent="0.3">
      <c r="A164" s="5">
        <v>147</v>
      </c>
      <c r="B164" s="4" t="s">
        <v>805</v>
      </c>
      <c r="C164" s="5">
        <v>797</v>
      </c>
      <c r="D164" s="4" t="s">
        <v>808</v>
      </c>
      <c r="E164" s="28" t="s">
        <v>4</v>
      </c>
      <c r="F164" s="26" t="str">
        <f>HYPERLINK("https://leetcode.com/problems/all-paths-from-source-to-target/","Open")</f>
        <v>Open</v>
      </c>
      <c r="G164" s="27"/>
    </row>
    <row r="165" spans="1:7" x14ac:dyDescent="0.3">
      <c r="A165" s="5">
        <v>148</v>
      </c>
      <c r="B165" s="4" t="s">
        <v>805</v>
      </c>
      <c r="C165" s="5">
        <v>332</v>
      </c>
      <c r="D165" s="4" t="s">
        <v>809</v>
      </c>
      <c r="E165" s="29" t="s">
        <v>5</v>
      </c>
      <c r="F165" s="26" t="str">
        <f>HYPERLINK("https://leetcode.com/problems/reconstruct-itinerary/","Open")</f>
        <v>Open</v>
      </c>
      <c r="G165" s="27"/>
    </row>
    <row r="166" spans="1:7" x14ac:dyDescent="0.3">
      <c r="A166" s="5">
        <v>149</v>
      </c>
      <c r="B166" s="4" t="s">
        <v>805</v>
      </c>
      <c r="C166" s="5" t="s">
        <v>810</v>
      </c>
      <c r="D166" s="4" t="s">
        <v>811</v>
      </c>
      <c r="E166" s="28" t="s">
        <v>4</v>
      </c>
      <c r="F166" s="30" t="s">
        <v>812</v>
      </c>
      <c r="G166" s="27"/>
    </row>
    <row r="167" spans="1:7" x14ac:dyDescent="0.3">
      <c r="A167" s="5">
        <v>150</v>
      </c>
      <c r="B167" s="4" t="s">
        <v>805</v>
      </c>
      <c r="C167" s="5" t="s">
        <v>810</v>
      </c>
      <c r="D167" s="4" t="s">
        <v>813</v>
      </c>
      <c r="E167" s="28" t="s">
        <v>4</v>
      </c>
      <c r="F167" s="30" t="s">
        <v>812</v>
      </c>
      <c r="G167" s="27"/>
    </row>
    <row r="168" spans="1:7" x14ac:dyDescent="0.3">
      <c r="A168" s="5">
        <v>151</v>
      </c>
      <c r="B168" s="4" t="s">
        <v>805</v>
      </c>
      <c r="C168" s="5">
        <v>1319</v>
      </c>
      <c r="D168" s="4" t="s">
        <v>814</v>
      </c>
      <c r="E168" s="28" t="s">
        <v>4</v>
      </c>
      <c r="F168" s="26" t="str">
        <f>HYPERLINK("https://leetcode.com/problems/number-of-operations-to-make-network-connected/","Open")</f>
        <v>Open</v>
      </c>
      <c r="G168" s="27"/>
    </row>
    <row r="169" spans="1:7" x14ac:dyDescent="0.3">
      <c r="A169" s="5">
        <v>152</v>
      </c>
      <c r="B169" s="4" t="s">
        <v>805</v>
      </c>
      <c r="C169" s="5">
        <v>787</v>
      </c>
      <c r="D169" s="4" t="s">
        <v>815</v>
      </c>
      <c r="E169" s="28" t="s">
        <v>4</v>
      </c>
      <c r="F169" s="26" t="str">
        <f>HYPERLINK("https://leetcode.com/problems/cheapest-flights-within-k-stops/","Open")</f>
        <v>Open</v>
      </c>
      <c r="G169" s="27"/>
    </row>
    <row r="170" spans="1:7" x14ac:dyDescent="0.3">
      <c r="A170" s="5">
        <v>153</v>
      </c>
      <c r="B170" s="4" t="s">
        <v>805</v>
      </c>
      <c r="C170" s="5">
        <v>1976</v>
      </c>
      <c r="D170" s="4" t="s">
        <v>816</v>
      </c>
      <c r="E170" s="28" t="s">
        <v>4</v>
      </c>
      <c r="F170" s="26" t="str">
        <f>HYPERLINK("https://leetcode.com/problems/number-of-ways-to-arrive-at-destination/","Open")</f>
        <v>Open</v>
      </c>
      <c r="G170" s="27"/>
    </row>
    <row r="171" spans="1:7" x14ac:dyDescent="0.3">
      <c r="A171" s="5">
        <v>154</v>
      </c>
      <c r="B171" s="4" t="s">
        <v>805</v>
      </c>
      <c r="C171" s="5">
        <v>1584</v>
      </c>
      <c r="D171" s="4" t="s">
        <v>817</v>
      </c>
      <c r="E171" s="28" t="s">
        <v>4</v>
      </c>
      <c r="F171" s="26" t="str">
        <f>HYPERLINK("https://leetcode.com/problems/min-cost-to-connect-all-points/","Open")</f>
        <v>Open</v>
      </c>
      <c r="G171" s="27"/>
    </row>
  </sheetData>
  <mergeCells count="13">
    <mergeCell ref="A128:G128"/>
    <mergeCell ref="A141:G141"/>
    <mergeCell ref="A161:G161"/>
    <mergeCell ref="A72:G72"/>
    <mergeCell ref="A84:G84"/>
    <mergeCell ref="A103:G103"/>
    <mergeCell ref="A109:G109"/>
    <mergeCell ref="A115:G115"/>
    <mergeCell ref="A5:G5"/>
    <mergeCell ref="A15:G15"/>
    <mergeCell ref="A30:G30"/>
    <mergeCell ref="A50:G50"/>
    <mergeCell ref="A61:G61"/>
  </mergeCells>
  <dataValidations count="1">
    <dataValidation type="list" allowBlank="1" sqref="G5:G171" xr:uid="{00000000-0002-0000-0200-000000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Practice 250</vt:lpstr>
      <vt:lpstr>Already Solved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Jeevan Pranav</cp:lastModifiedBy>
  <cp:revision>0</cp:revision>
  <dcterms:created xsi:type="dcterms:W3CDTF">2026-09-04T11:33:51Z</dcterms:created>
  <dcterms:modified xsi:type="dcterms:W3CDTF">2026-09-11T20:00:41Z</dcterms:modified>
  <dc:language>en-US</dc:language>
</cp:coreProperties>
</file>