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365-Day Plan (2h)" sheetId="2" state="visible" r:id="rId4"/>
    <sheet name="Sources" sheetId="3" state="visible" r:id="rId5"/>
  </sheets>
  <definedNames>
    <definedName function="false" hidden="true" localSheetId="1" name="_xlnm._FilterDatabase" vbProcedure="false">'365-Day Plan (2h)'!$A$1:$O$366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<sst xmlns="http://schemas.openxmlformats.org/spreadsheetml/2006/main" count="4033" uniqueCount="2206">
  <si>
    <t xml:space="preserve">365-Day AI Engineer Roadmap - 2 hours/day edition</t>
  </si>
  <si>
    <t xml:space="preserve">Day 1 = 07 Sep 2026 (Mon). Every day = 2 h: LEARN 45 min (read/watch the exact section listed) + IMPLEMENT/BUILD 75 min (code it) + 5 min revise. Day 7 = weekly checkpoint (grey, 2 h). Yellow = project checkpoint weeks. DSA is NOT in this plan - it uses its own time. Rule: if a day overruns, carry it to the next day and drop that week's lowest-value item; never skip the checkpoint.</t>
  </si>
  <si>
    <t xml:space="preserve">Week</t>
  </si>
  <si>
    <t xml:space="preserve">Days</t>
  </si>
  <si>
    <t xml:space="preserve">Phase</t>
  </si>
  <si>
    <t xml:space="preserve">Theme</t>
  </si>
  <si>
    <t xml:space="preserve">Difficulty</t>
  </si>
  <si>
    <t xml:space="preserve">Checkpoint</t>
  </si>
  <si>
    <t xml:space="preserve">Days done</t>
  </si>
  <si>
    <t xml:space="preserve">% done</t>
  </si>
  <si>
    <t xml:space="preserve">1-7</t>
  </si>
  <si>
    <t xml:space="preserve">Phase 0 - Assessment &amp; setup</t>
  </si>
  <si>
    <t xml:space="preserve">Assessment + engineering setup</t>
  </si>
  <si>
    <t xml:space="preserve">CP0</t>
  </si>
  <si>
    <t xml:space="preserve">8-14</t>
  </si>
  <si>
    <t xml:space="preserve">Phase 1 - Mathematics</t>
  </si>
  <si>
    <t xml:space="preserve">Linear algebra I</t>
  </si>
  <si>
    <t xml:space="preserve">15-21</t>
  </si>
  <si>
    <t xml:space="preserve">Linear algebra II</t>
  </si>
  <si>
    <t xml:space="preserve">22-28</t>
  </si>
  <si>
    <t xml:space="preserve">Calculus &amp; optimisation</t>
  </si>
  <si>
    <t xml:space="preserve">29-35</t>
  </si>
  <si>
    <t xml:space="preserve">Probability</t>
  </si>
  <si>
    <t xml:space="preserve">36-42</t>
  </si>
  <si>
    <t xml:space="preserve">Statistics</t>
  </si>
  <si>
    <t xml:space="preserve">Math diagnostic v2</t>
  </si>
  <si>
    <t xml:space="preserve">43-49</t>
  </si>
  <si>
    <t xml:space="preserve">Phase 2 - Classical &amp; advanced ML</t>
  </si>
  <si>
    <t xml:space="preserve">Regression, classification, metrics</t>
  </si>
  <si>
    <t xml:space="preserve">50-56</t>
  </si>
  <si>
    <t xml:space="preserve">Trees, forests, boosting</t>
  </si>
  <si>
    <t xml:space="preserve">57-63</t>
  </si>
  <si>
    <t xml:space="preserve">Unsupervised &amp; anomaly</t>
  </si>
  <si>
    <t xml:space="preserve">64-70</t>
  </si>
  <si>
    <t xml:space="preserve">Advanced ML</t>
  </si>
  <si>
    <t xml:space="preserve">71-77</t>
  </si>
  <si>
    <t xml:space="preserve">PROJECT 1: PredictiveMaint-ML (week 1)</t>
  </si>
  <si>
    <t xml:space="preserve">78-84</t>
  </si>
  <si>
    <t xml:space="preserve">PROJECT 1 (week 2)</t>
  </si>
  <si>
    <t xml:space="preserve">CP1</t>
  </si>
  <si>
    <t xml:space="preserve">85-91</t>
  </si>
  <si>
    <t xml:space="preserve">Phase 3 - Deep learning &amp; PyTorch</t>
  </si>
  <si>
    <t xml:space="preserve">DL from scratch</t>
  </si>
  <si>
    <t xml:space="preserve">92-98</t>
  </si>
  <si>
    <t xml:space="preserve">PyTorch mastery</t>
  </si>
  <si>
    <t xml:space="preserve">99-105</t>
  </si>
  <si>
    <t xml:space="preserve">Training craft</t>
  </si>
  <si>
    <t xml:space="preserve">106-112</t>
  </si>
  <si>
    <t xml:space="preserve">CNNs</t>
  </si>
  <si>
    <t xml:space="preserve">113-119</t>
  </si>
  <si>
    <t xml:space="preserve">Sequence models</t>
  </si>
  <si>
    <t xml:space="preserve">120-126</t>
  </si>
  <si>
    <t xml:space="preserve">PROJECT 2: EdgeVibe-CNN (week 1)</t>
  </si>
  <si>
    <t xml:space="preserve">127-133</t>
  </si>
  <si>
    <t xml:space="preserve">PROJECT 2 (week 2)</t>
  </si>
  <si>
    <t xml:space="preserve">CP2</t>
  </si>
  <si>
    <t xml:space="preserve">134-140</t>
  </si>
  <si>
    <t xml:space="preserve">Phase 4 - Transformers &amp; LLMs</t>
  </si>
  <si>
    <t xml:space="preserve">Attention &amp; transformer</t>
  </si>
  <si>
    <t xml:space="preserve">141-147</t>
  </si>
  <si>
    <t xml:space="preserve">Building GPT</t>
  </si>
  <si>
    <t xml:space="preserve">148-154</t>
  </si>
  <si>
    <t xml:space="preserve">Pretraining &amp; inference</t>
  </si>
  <si>
    <t xml:space="preserve">155-161</t>
  </si>
  <si>
    <t xml:space="preserve">LLM systems</t>
  </si>
  <si>
    <t xml:space="preserve">162-168</t>
  </si>
  <si>
    <t xml:space="preserve">LLM behaviour &amp; structured output</t>
  </si>
  <si>
    <t xml:space="preserve">169-175</t>
  </si>
  <si>
    <t xml:space="preserve">PROJECT 3: MiniGPT-Domain (week 1)</t>
  </si>
  <si>
    <t xml:space="preserve">176-182</t>
  </si>
  <si>
    <t xml:space="preserve">PROJECT 3 (week 2)</t>
  </si>
  <si>
    <t xml:space="preserve">CP3</t>
  </si>
  <si>
    <t xml:space="preserve">183-189</t>
  </si>
  <si>
    <t xml:space="preserve">Phase 5 - Embeddings &amp; RAG</t>
  </si>
  <si>
    <t xml:space="preserve">Embeddings &amp; vector search</t>
  </si>
  <si>
    <t xml:space="preserve">190-196</t>
  </si>
  <si>
    <t xml:space="preserve">RAG Level 1-2</t>
  </si>
  <si>
    <t xml:space="preserve">197-203</t>
  </si>
  <si>
    <t xml:space="preserve">RAG Level 3</t>
  </si>
  <si>
    <t xml:space="preserve">204-210</t>
  </si>
  <si>
    <t xml:space="preserve">RAG Level 4: evaluation, cost, cache</t>
  </si>
  <si>
    <t xml:space="preserve">211-217</t>
  </si>
  <si>
    <t xml:space="preserve">PROJECT 4: RegRAG (week 1)</t>
  </si>
  <si>
    <t xml:space="preserve">218-224</t>
  </si>
  <si>
    <t xml:space="preserve">PROJECT 4 (week 2)</t>
  </si>
  <si>
    <t xml:space="preserve">CP4</t>
  </si>
  <si>
    <t xml:space="preserve">225-231</t>
  </si>
  <si>
    <t xml:space="preserve">Phase 6 - Fine-tuning</t>
  </si>
  <si>
    <t xml:space="preserve">PEFT &amp; quantisation</t>
  </si>
  <si>
    <t xml:space="preserve">232-238</t>
  </si>
  <si>
    <t xml:space="preserve">Instruction tuning, DPO, RAG-vs-FT</t>
  </si>
  <si>
    <t xml:space="preserve">239-245</t>
  </si>
  <si>
    <t xml:space="preserve">Whisper fine-tune on Tanglish</t>
  </si>
  <si>
    <t xml:space="preserve">246-252</t>
  </si>
  <si>
    <t xml:space="preserve">Phase 7 - Agents</t>
  </si>
  <si>
    <t xml:space="preserve">Agents I: loop &amp; tools</t>
  </si>
  <si>
    <t xml:space="preserve">253-259</t>
  </si>
  <si>
    <t xml:space="preserve">Agents II: workflows vs agents</t>
  </si>
  <si>
    <t xml:space="preserve">260-266</t>
  </si>
  <si>
    <t xml:space="preserve">Agents III: framework week + security</t>
  </si>
  <si>
    <t xml:space="preserve">267-273</t>
  </si>
  <si>
    <t xml:space="preserve">PROJECT 5: TanglishVoice (week 1)</t>
  </si>
  <si>
    <t xml:space="preserve">274-280</t>
  </si>
  <si>
    <t xml:space="preserve">PROJECT 5 (week 2)</t>
  </si>
  <si>
    <t xml:space="preserve">CP5</t>
  </si>
  <si>
    <t xml:space="preserve">281-287</t>
  </si>
  <si>
    <t xml:space="preserve">Phase 8 - Speech internals &amp; edge</t>
  </si>
  <si>
    <t xml:space="preserve">ASR internals + TTS + VLM</t>
  </si>
  <si>
    <t xml:space="preserve">288-294</t>
  </si>
  <si>
    <t xml:space="preserve">Edge AI</t>
  </si>
  <si>
    <t xml:space="preserve">295-301</t>
  </si>
  <si>
    <t xml:space="preserve">Phase 9 - MLOps, cloud, systems</t>
  </si>
  <si>
    <t xml:space="preserve">MLOps I: tracking, versioning, testing</t>
  </si>
  <si>
    <t xml:space="preserve">302-308</t>
  </si>
  <si>
    <t xml:space="preserve">MLOps II: serving, monitoring, drift</t>
  </si>
  <si>
    <t xml:space="preserve">309-315</t>
  </si>
  <si>
    <t xml:space="preserve">Azure</t>
  </si>
  <si>
    <t xml:space="preserve">316-322</t>
  </si>
  <si>
    <t xml:space="preserve">Distributed systems for AI + system design</t>
  </si>
  <si>
    <t xml:space="preserve">323-329</t>
  </si>
  <si>
    <t xml:space="preserve">PROJECT 6: platform (week 1)</t>
  </si>
  <si>
    <t xml:space="preserve">330-336</t>
  </si>
  <si>
    <t xml:space="preserve">PROJECT 6 (week 2)</t>
  </si>
  <si>
    <t xml:space="preserve">CP6</t>
  </si>
  <si>
    <t xml:space="preserve">337-343</t>
  </si>
  <si>
    <t xml:space="preserve">Phase 10 - GPU &amp; inference optimisation</t>
  </si>
  <si>
    <t xml:space="preserve">GPU basics &amp; compression</t>
  </si>
  <si>
    <t xml:space="preserve">344-350</t>
  </si>
  <si>
    <t xml:space="preserve">LLM serving</t>
  </si>
  <si>
    <t xml:space="preserve">351-357</t>
  </si>
  <si>
    <t xml:space="preserve">Phase 11 - Research engineering</t>
  </si>
  <si>
    <t xml:space="preserve">Reading, reproduction, ablation</t>
  </si>
  <si>
    <t xml:space="preserve">358-364</t>
  </si>
  <si>
    <t xml:space="preserve">Phase 12 - Flagship integration</t>
  </si>
  <si>
    <t xml:space="preserve">Flagship: Sentinel-Edge</t>
  </si>
  <si>
    <t xml:space="preserve">CP7</t>
  </si>
  <si>
    <t xml:space="preserve">Total</t>
  </si>
  <si>
    <t xml:space="preserve">What was cut vs the 6-hour plan (to fit 730 hours):</t>
  </si>
  <si>
    <t xml:space="preserve">- Practice slots removed; exercises folded into the Implement block and the weekly checkpoint.</t>
  </si>
  <si>
    <t xml:space="preserve">- Project weeks doubled (2 weeks each) but with narrower scope; Project 6 is the lifecycle platform, flagship integration is 1 week.</t>
  </si>
  <si>
    <t xml:space="preserve">- Dropped: Triton, TensorRT deep dive, Kafka (concept only), VLM fine-tuning, video understanding, TTS fine-tuning, feature-store day, dedicated GPU-CUDA week (now 2 days), separate multimodal-RAG week (1 day).</t>
  </si>
  <si>
    <t xml:space="preserve">- Merged: ASR internals + TTS + VLM into one week; MLOps three weeks into two; distributed systems + system design into one week; research two weeks into one.</t>
  </si>
  <si>
    <t xml:space="preserve">- Kept intact: all mathematics, all from-scratch implementations (autodiff, GBM, LSTM, attention, GPT, BPE, KV cache, BM25, HNSW, LoRA, CTC), RAG L1-L4, fine-tuning, agents with security, Whisper fine-tune, edge deployment, MLflow/DVC/CI/Azure, vLLM benchmarks, one paper reproduction.</t>
  </si>
  <si>
    <t xml:space="preserve">If a phase finishes early, add the cut items back in this order: TensorRT -&gt; Kafka -&gt; VLM fine-tune -&gt; Triton.</t>
  </si>
  <si>
    <t xml:space="preserve">Day</t>
  </si>
  <si>
    <t xml:space="preserve">Date</t>
  </si>
  <si>
    <t xml:space="preserve">Topic</t>
  </si>
  <si>
    <t xml:space="preserve">Concepts</t>
  </si>
  <si>
    <t xml:space="preserve">LEARN (45 min) - source &amp; section</t>
  </si>
  <si>
    <t xml:space="preserve">Source key</t>
  </si>
  <si>
    <t xml:space="preserve">Source URL</t>
  </si>
  <si>
    <t xml:space="preserve">IMPLEMENT / BUILD (75 min)</t>
  </si>
  <si>
    <t xml:space="preserve">Revise (5 min)</t>
  </si>
  <si>
    <t xml:space="preserve">Deliverable</t>
  </si>
  <si>
    <t xml:space="preserve">Done (Y/N)</t>
  </si>
  <si>
    <t xml:space="preserve">Environment + repo</t>
  </si>
  <si>
    <t xml:space="preserve">uv, pyproject, pytest, pre-commit, pyright</t>
  </si>
  <si>
    <t xml:space="preserve">PYDOCS: pytest fixtures; PROGIT ch 2</t>
  </si>
  <si>
    <t xml:space="preserve">PYDOCS</t>
  </si>
  <si>
    <t xml:space="preserve">https://docs.python.org/3/library/asyncio.html</t>
  </si>
  <si>
    <t xml:space="preserve">Create `ai-lab` repo skeleton; one typed module + test; CI</t>
  </si>
  <si>
    <t xml:space="preserve">Yesterday: -</t>
  </si>
  <si>
    <t xml:space="preserve">Repo + CI green</t>
  </si>
  <si>
    <t xml:space="preserve">Math diagnostic</t>
  </si>
  <si>
    <t xml:space="preserve">LA/calc/prob/opt baseline</t>
  </si>
  <si>
    <t xml:space="preserve">None - closed-book test</t>
  </si>
  <si>
    <t xml:space="preserve">MML</t>
  </si>
  <si>
    <t xml:space="preserve">https://mml-book.github.io/</t>
  </si>
  <si>
    <t xml:space="preserve">Take 20-Q diagnostic (MML chapter exercises); grade; weak list</t>
  </si>
  <si>
    <t xml:space="preserve">Yesterday: Environment + repo</t>
  </si>
  <si>
    <t xml:space="preserve">Score + weak topics</t>
  </si>
  <si>
    <t xml:space="preserve">PyTorch diagnostic</t>
  </si>
  <si>
    <t xml:space="preserve">Training loop, backprop</t>
  </si>
  <si>
    <t xml:space="preserve">None</t>
  </si>
  <si>
    <t xml:space="preserve">PT-TUT</t>
  </si>
  <si>
    <t xml:space="preserve">https://docs.pytorch.org/tutorials/</t>
  </si>
  <si>
    <t xml:space="preserve">Blank-file MNIST training loop; derive 2-layer backprop on paper</t>
  </si>
  <si>
    <t xml:space="preserve">Yesterday: Math diagnostic</t>
  </si>
  <si>
    <t xml:space="preserve">Loop + derivation photo</t>
  </si>
  <si>
    <t xml:space="preserve">LLM/RAG diagnostic</t>
  </si>
  <si>
    <t xml:space="preserve">Attention, recall@k</t>
  </si>
  <si>
    <t xml:space="preserve">OWN</t>
  </si>
  <si>
    <t xml:space="preserve">-</t>
  </si>
  <si>
    <t xml:space="preserve">Attention from memory; recall@5 on a past RAG corpus</t>
  </si>
  <si>
    <t xml:space="preserve">Yesterday: PyTorch diagnostic</t>
  </si>
  <si>
    <t xml:space="preserve">Two scripts + gap list</t>
  </si>
  <si>
    <t xml:space="preserve">Speech/agent/vector diagnostic</t>
  </si>
  <si>
    <t xml:space="preserve">WER, tool schemas, ANN</t>
  </si>
  <si>
    <t xml:space="preserve">JIWER README</t>
  </si>
  <si>
    <t xml:space="preserve">JIWER</t>
  </si>
  <si>
    <t xml:space="preserve">https://github.com/jitsi/jiwer</t>
  </si>
  <si>
    <t xml:space="preserve">WER on Tanglish clips; hackathon agent as plain loop; memory-engine vs FAISS</t>
  </si>
  <si>
    <t xml:space="preserve">Yesterday: LLM/RAG diagnostic</t>
  </si>
  <si>
    <t xml:space="preserve">WER table + benchmark</t>
  </si>
  <si>
    <t xml:space="preserve">Async + Docker + Git drills</t>
  </si>
  <si>
    <t xml:space="preserve">asyncio, retries, Dockerfile, rebase/bisect</t>
  </si>
  <si>
    <t xml:space="preserve">PYDOCS asyncio basics; DOCKER best practices</t>
  </si>
  <si>
    <t xml:space="preserve">Async batch caller with rate limit; Dockerfile; rebase drill</t>
  </si>
  <si>
    <t xml:space="preserve">Yesterday: Speech/agent/vector diagnostic</t>
  </si>
  <si>
    <t xml:space="preserve">Container runs; CP0 self-grade</t>
  </si>
  <si>
    <t xml:space="preserve">WEEKLY CHECKPOINT 1: Assessment + engineering setup</t>
  </si>
  <si>
    <t xml:space="preserve">Whole week</t>
  </si>
  <si>
    <t xml:space="preserve">Anki + notes (30 min)</t>
  </si>
  <si>
    <t xml:space="preserve">Self-test 10 concept Qs + interview Qs: GIL vs asyncio for LLM calls; Why GPU runs aren't deterministic; What a Docker layer cache does (score bands: &lt;40 weak, 40-60 needs work, 60-75 acceptable, 75-90 strong, 90+ excellent; &lt;75% =&gt; revise before next week) (60 min); redo hardest implementation from blank file (30 min)</t>
  </si>
  <si>
    <t xml:space="preserve">Score + 200-word weekly note + push</t>
  </si>
  <si>
    <t xml:space="preserve">Vectors, span, systems</t>
  </si>
  <si>
    <t xml:space="preserve">Linear combinations, REF, Gaussian elimination</t>
  </si>
  <si>
    <t xml:space="preserve">MML 2.1-2.3; 3B1B-LA ep 1-3</t>
  </si>
  <si>
    <t xml:space="preserve">Gaussian elimination from scratch; compare np.linalg.solve</t>
  </si>
  <si>
    <t xml:space="preserve">Yesterday: Async + Docker + Git drills</t>
  </si>
  <si>
    <t xml:space="preserve">`mathlib/linalg.py` + tests</t>
  </si>
  <si>
    <t xml:space="preserve">Vector spaces &amp; independence</t>
  </si>
  <si>
    <t xml:space="preserve">Subspaces, independence test</t>
  </si>
  <si>
    <t xml:space="preserve">MML 2.4-2.5</t>
  </si>
  <si>
    <t xml:space="preserve">Independence check via REF; 8 exercises</t>
  </si>
  <si>
    <t xml:space="preserve">Yesterday: Vectors, span, systems</t>
  </si>
  <si>
    <t xml:space="preserve">Commit</t>
  </si>
  <si>
    <t xml:space="preserve">Basis, rank, nullspace</t>
  </si>
  <si>
    <t xml:space="preserve">Rank-nullity, nullspace basis</t>
  </si>
  <si>
    <t xml:space="preserve">MML 2.6; 3B1B-LA ep 4-5</t>
  </si>
  <si>
    <t xml:space="preserve">rank(), nullspace()</t>
  </si>
  <si>
    <t xml:space="preserve">Yesterday: Vector spaces &amp; independence</t>
  </si>
  <si>
    <t xml:space="preserve">Commit + tests</t>
  </si>
  <si>
    <t xml:space="preserve">Linear mappings</t>
  </si>
  <si>
    <t xml:space="preserve">Matrix as map, image/kernel, composition</t>
  </si>
  <si>
    <t xml:space="preserve">MML 2.7; 3B1B-LA ep 6-8</t>
  </si>
  <si>
    <t xml:space="preserve">Grid-transform visualiser</t>
  </si>
  <si>
    <t xml:space="preserve">Yesterday: Basis, rank, nullspace</t>
  </si>
  <si>
    <t xml:space="preserve">Plot + commit</t>
  </si>
  <si>
    <t xml:space="preserve">Change of basis, affine</t>
  </si>
  <si>
    <t xml:space="preserve">Basis change, affine maps</t>
  </si>
  <si>
    <t xml:space="preserve">MML 2.7.2-2.8; 3B1B-LA ep 12-13</t>
  </si>
  <si>
    <t xml:space="preserve">Change-of-basis for rotation</t>
  </si>
  <si>
    <t xml:space="preserve">Yesterday: Linear mappings</t>
  </si>
  <si>
    <t xml:space="preserve">Norms &amp; inner products</t>
  </si>
  <si>
    <t xml:space="preserve">Lp norms, inner products, Cauchy-Schwarz</t>
  </si>
  <si>
    <t xml:space="preserve">MML 3.1-3.3</t>
  </si>
  <si>
    <t xml:space="preserve">Norms; unit-ball plot; prove C-S once</t>
  </si>
  <si>
    <t xml:space="preserve">Yesterday: Change of basis, affine</t>
  </si>
  <si>
    <t xml:space="preserve">Commit + Anki 30 cards</t>
  </si>
  <si>
    <t xml:space="preserve">WEEKLY CHECKPOINT 2: Linear algebra I</t>
  </si>
  <si>
    <t xml:space="preserve">Self-test 10 concept Qs + interview Qs: What rank tells you; When Ax=b has no/one/many solutions; Why matmul is composition (score bands: &lt;40 weak, 40-60 needs work, 60-75 acceptable, 75-90 strong, 90+ excellent; &lt;75% =&gt; revise before next week) (60 min); redo hardest implementation from blank file (30 min)</t>
  </si>
  <si>
    <t xml:space="preserve">Angles, orthogonality, Gram-Schmidt</t>
  </si>
  <si>
    <t xml:space="preserve">Cosine similarity, orthonormal basis</t>
  </si>
  <si>
    <t xml:space="preserve">MML 3.4-3.5, 3.8; 3B1B-LA ep 9</t>
  </si>
  <si>
    <t xml:space="preserve">cosine_similarity; Gram-Schmidt</t>
  </si>
  <si>
    <t xml:space="preserve">Yesterday: Norms &amp; inner products</t>
  </si>
  <si>
    <t xml:space="preserve">Projections &amp; least squares</t>
  </si>
  <si>
    <t xml:space="preserve">Projection matrix; least squares as projection</t>
  </si>
  <si>
    <t xml:space="preserve">MML 3.8</t>
  </si>
  <si>
    <t xml:space="preserve">Least squares via projection vs lstsq; derive normal equations</t>
  </si>
  <si>
    <t xml:space="preserve">Yesterday: Angles, orthogonality, Gram-Schmidt</t>
  </si>
  <si>
    <t xml:space="preserve">Derivation + commit</t>
  </si>
  <si>
    <t xml:space="preserve">Determinant &amp; eigen</t>
  </si>
  <si>
    <t xml:space="preserve">Volume scaling; characteristic polynomial; eigenspaces</t>
  </si>
  <si>
    <t xml:space="preserve">MML 4.1-4.2; 3B1B-LA ep 6, 14</t>
  </si>
  <si>
    <t xml:space="preserve">det via elimination; power iteration; 2x2 by hand</t>
  </si>
  <si>
    <t xml:space="preserve">Yesterday: Projections &amp; least squares</t>
  </si>
  <si>
    <t xml:space="preserve">Eigendecomposition &amp; Cholesky</t>
  </si>
  <si>
    <t xml:space="preserve">Spectral theorem; SPD</t>
  </si>
  <si>
    <t xml:space="preserve">MML 4.3-4.4</t>
  </si>
  <si>
    <t xml:space="preserve">Symmetric eigendecomp; reconstruct A</t>
  </si>
  <si>
    <t xml:space="preserve">Yesterday: Determinant &amp; eigen</t>
  </si>
  <si>
    <t xml:space="preserve">SVD</t>
  </si>
  <si>
    <t xml:space="preserve">U Sigma V^T; relation to A^T A; low rank</t>
  </si>
  <si>
    <t xml:space="preserve">MML 4.5-4.6</t>
  </si>
  <si>
    <t xml:space="preserve">SVD via eigen(A^T A); image compression</t>
  </si>
  <si>
    <t xml:space="preserve">Yesterday: Eigendecomposition &amp; Cholesky</t>
  </si>
  <si>
    <t xml:space="preserve">PCA</t>
  </si>
  <si>
    <t xml:space="preserve">Max-variance projection; explained variance</t>
  </si>
  <si>
    <t xml:space="preserve">MML 10.1-10.3</t>
  </si>
  <si>
    <t xml:space="preserve">PCA from your SVD on Iris; derive objective</t>
  </si>
  <si>
    <t xml:space="preserve">Yesterday: SVD</t>
  </si>
  <si>
    <t xml:space="preserve">`pca()` + derivation</t>
  </si>
  <si>
    <t xml:space="preserve">WEEKLY CHECKPOINT 3: Linear algebra II</t>
  </si>
  <si>
    <t xml:space="preserve">Self-test 10 concept Qs + interview Qs: Derive PCA; Why SVD always exists; Low rank and LoRA (score bands: &lt;40 weak, 40-60 needs work, 60-75 acceptable, 75-90 strong, 90+ excellent; &lt;75% =&gt; revise before next week) (60 min); redo hardest implementation from blank file (30 min)</t>
  </si>
  <si>
    <t xml:space="preserve">Derivatives, Taylor</t>
  </si>
  <si>
    <t xml:space="preserve">Rules; Taylor polynomials</t>
  </si>
  <si>
    <t xml:space="preserve">MML 5.1; 3B1B-CALC ep 1-4</t>
  </si>
  <si>
    <t xml:space="preserve">Numerical derivative; Taylor plots</t>
  </si>
  <si>
    <t xml:space="preserve">Yesterday: PCA</t>
  </si>
  <si>
    <t xml:space="preserve">Partials, gradients, Jacobians</t>
  </si>
  <si>
    <t xml:space="preserve">Gradient vector; Jacobian</t>
  </si>
  <si>
    <t xml:space="preserve">MML 5.2-5.3</t>
  </si>
  <si>
    <t xml:space="preserve">Numerical gradient checker</t>
  </si>
  <si>
    <t xml:space="preserve">Yesterday: Derivatives, Taylor</t>
  </si>
  <si>
    <t xml:space="preserve">Chain rule = backprop</t>
  </si>
  <si>
    <t xml:space="preserve">Multivariate chain rule; reverse-mode AD</t>
  </si>
  <si>
    <t xml:space="preserve">MML 5.3-5.6</t>
  </si>
  <si>
    <t xml:space="preserve">Gradients of x^T A x, ||Ax-b||^2, softmax-CE by hand; tiny reverse-mode AD</t>
  </si>
  <si>
    <t xml:space="preserve">Yesterday: Partials, gradients, Jacobians</t>
  </si>
  <si>
    <t xml:space="preserve">`autodiff.py`</t>
  </si>
  <si>
    <t xml:space="preserve">Hessian &amp; convexity</t>
  </si>
  <si>
    <t xml:space="preserve">Curvature, saddles, convex sets, Jensen</t>
  </si>
  <si>
    <t xml:space="preserve">MML 5.7-5.8, 7.3</t>
  </si>
  <si>
    <t xml:space="preserve">Hessian of 2-D function; convexity check</t>
  </si>
  <si>
    <t xml:space="preserve">Yesterday: Chain rule = backprop</t>
  </si>
  <si>
    <t xml:space="preserve">GD, SGD, momentum</t>
  </si>
  <si>
    <t xml:space="preserve">Step size, momentum, schedules</t>
  </si>
  <si>
    <t xml:space="preserve">MML 7.1</t>
  </si>
  <si>
    <t xml:space="preserve">GD/SGD/momentum on bowl + Rosenbrock; animation</t>
  </si>
  <si>
    <t xml:space="preserve">Yesterday: Hessian &amp; convexity</t>
  </si>
  <si>
    <t xml:space="preserve">`optim.py` part 1</t>
  </si>
  <si>
    <t xml:space="preserve">Adam, regularisation, Lagrange</t>
  </si>
  <si>
    <t xml:space="preserve">Adaptive LR, bias correction, L1/L2, MAP=L2</t>
  </si>
  <si>
    <t xml:space="preserve">MML 7.2, 8.2-8.3; Adam paper sec 2 (arxiv 1412.6980)</t>
  </si>
  <si>
    <t xml:space="preserve">Adam + RMSProp; ridge closed form; derive MAP&lt;-&gt;L2</t>
  </si>
  <si>
    <t xml:space="preserve">Yesterday: GD, SGD, momentum</t>
  </si>
  <si>
    <t xml:space="preserve">`optim.py` complete</t>
  </si>
  <si>
    <t xml:space="preserve">WEEKLY CHECKPOINT 4: Calculus &amp; optimisation</t>
  </si>
  <si>
    <t xml:space="preserve">Self-test 10 concept Qs + interview Qs: Why Adam bias correction; Why L1 gives sparsity; When GD oscillates (score bands: &lt;40 weak, 40-60 needs work, 60-75 acceptable, 75-90 strong, 90+ excellent; &lt;75% =&gt; revise before next week) (60 min); redo hardest implementation from blank file (30 min)</t>
  </si>
  <si>
    <t xml:space="preserve">Probability space, RVs</t>
  </si>
  <si>
    <t xml:space="preserve">PMF/PDF/CDF</t>
  </si>
  <si>
    <t xml:space="preserve">MML 6.1</t>
  </si>
  <si>
    <t xml:space="preserve">Simulations vs theory</t>
  </si>
  <si>
    <t xml:space="preserve">Yesterday: Adam, regularisation, Lagrange</t>
  </si>
  <si>
    <t xml:space="preserve">Sum/product rules, Bayes</t>
  </si>
  <si>
    <t xml:space="preserve">Marginals, conditionals, Bayes</t>
  </si>
  <si>
    <t xml:space="preserve">MML 6.2-6.3</t>
  </si>
  <si>
    <t xml:space="preserve">Bayes calculator (medical test)</t>
  </si>
  <si>
    <t xml:space="preserve">Yesterday: Probability space, RVs</t>
  </si>
  <si>
    <t xml:space="preserve">Expectation, variance, covariance</t>
  </si>
  <si>
    <t xml:space="preserve">Moments; covariance matrix</t>
  </si>
  <si>
    <t xml:space="preserve">MML 6.4</t>
  </si>
  <si>
    <t xml:space="preserve">Covariance from scratch vs np.cov</t>
  </si>
  <si>
    <t xml:space="preserve">Yesterday: Sum/product rules, Bayes</t>
  </si>
  <si>
    <t xml:space="preserve">Gaussians</t>
  </si>
  <si>
    <t xml:space="preserve">Multivariate; marginals/conditionals; Cholesky sampling</t>
  </si>
  <si>
    <t xml:space="preserve">MML 6.5</t>
  </si>
  <si>
    <t xml:space="preserve">2-D Gaussian sampler + ellipse; derive linear transform</t>
  </si>
  <si>
    <t xml:space="preserve">Yesterday: Expectation, variance, covariance</t>
  </si>
  <si>
    <t xml:space="preserve">Plot + derivation</t>
  </si>
  <si>
    <t xml:space="preserve">Exponential family, MLE/MAP</t>
  </si>
  <si>
    <t xml:space="preserve">Bernoulli/beta/Poisson; conjugacy; MLE-&gt;MSE/CE</t>
  </si>
  <si>
    <t xml:space="preserve">MML 6.6, 8.3</t>
  </si>
  <si>
    <t xml:space="preserve">Beta-binomial updates; derive MLE-&gt;CE</t>
  </si>
  <si>
    <t xml:space="preserve">Yesterday: Gaussians</t>
  </si>
  <si>
    <t xml:space="preserve">Derivations</t>
  </si>
  <si>
    <t xml:space="preserve">Entropy, KL, Naive Bayes</t>
  </si>
  <si>
    <t xml:space="preserve">Information theory basics; NB with smoothing</t>
  </si>
  <si>
    <t xml:space="preserve">MML 6.6 + OWN notes</t>
  </si>
  <si>
    <t xml:space="preserve">entropy/KL; Naive Bayes on SMS spam</t>
  </si>
  <si>
    <t xml:space="preserve">Yesterday: Exponential family, MLE/MAP</t>
  </si>
  <si>
    <t xml:space="preserve">`naive_bayes.py` + Anki</t>
  </si>
  <si>
    <t xml:space="preserve">WEEKLY CHECKPOINT 5: Probability</t>
  </si>
  <si>
    <t xml:space="preserve">Self-test 10 concept Qs + interview Qs: Why CE is the right loss; Where KL appears in DPO; Base-rate fallacy example (score bands: &lt;40 weak, 40-60 needs work, 60-75 acceptable, 75-90 strong, 90+ excellent; &lt;75% =&gt; revise before next week) (60 min); redo hardest implementation from blank file (30 min)</t>
  </si>
  <si>
    <t xml:space="preserve">Sampling &amp; CLT</t>
  </si>
  <si>
    <t xml:space="preserve">Sampling distributions, standard error</t>
  </si>
  <si>
    <t xml:space="preserve">BRUCE ch 2</t>
  </si>
  <si>
    <t xml:space="preserve">BRUCE</t>
  </si>
  <si>
    <t xml:space="preserve">https://www.oreilly.com/library/view/practical-statistics-for/9781492072935/</t>
  </si>
  <si>
    <t xml:space="preserve">CLT simulation</t>
  </si>
  <si>
    <t xml:space="preserve">Yesterday: Entropy, KL, Naive Bayes</t>
  </si>
  <si>
    <t xml:space="preserve">Confidence intervals &amp; bootstrap</t>
  </si>
  <si>
    <t xml:space="preserve">CIs, bootstrap</t>
  </si>
  <si>
    <t xml:space="preserve">Bootstrap CI for accuracy</t>
  </si>
  <si>
    <t xml:space="preserve">Yesterday: Sampling &amp; CLT</t>
  </si>
  <si>
    <t xml:space="preserve">`bootstrap_ci()`</t>
  </si>
  <si>
    <t xml:space="preserve">Hypothesis testing</t>
  </si>
  <si>
    <t xml:space="preserve">t-test, permutation, p-values</t>
  </si>
  <si>
    <t xml:space="preserve">BRUCE ch 3</t>
  </si>
  <si>
    <t xml:space="preserve">t-test + permutation test; compare two models</t>
  </si>
  <si>
    <t xml:space="preserve">Yesterday: Confidence intervals &amp; bootstrap</t>
  </si>
  <si>
    <t xml:space="preserve">Correlation &amp; regression stats</t>
  </si>
  <si>
    <t xml:space="preserve">Pearson/Spearman, R^2, residuals, confounding</t>
  </si>
  <si>
    <t xml:space="preserve">BRUCE ch 1, 4</t>
  </si>
  <si>
    <t xml:space="preserve">Correlation + residual plots on AI4I data</t>
  </si>
  <si>
    <t xml:space="preserve">Yesterday: Hypothesis testing</t>
  </si>
  <si>
    <t xml:space="preserve">A/B tests &amp; drift tests</t>
  </si>
  <si>
    <t xml:space="preserve">Power, KS, PSI</t>
  </si>
  <si>
    <t xml:space="preserve">BRUCE ch 3; EVIDENTLY concepts</t>
  </si>
  <si>
    <t xml:space="preserve">EVIDENTLY</t>
  </si>
  <si>
    <t xml:space="preserve">https://docs.evidentlyai.com/</t>
  </si>
  <si>
    <t xml:space="preserve">A/B simulator; KS + PSI detector</t>
  </si>
  <si>
    <t xml:space="preserve">Yesterday: Correlation &amp; regression stats</t>
  </si>
  <si>
    <t xml:space="preserve">`drift.py`</t>
  </si>
  <si>
    <t xml:space="preserve">All Phase 1</t>
  </si>
  <si>
    <t xml:space="preserve">Anki review</t>
  </si>
  <si>
    <t xml:space="preserve">Retake 20-Q diagnostic; fix weak items</t>
  </si>
  <si>
    <t xml:space="preserve">Yesterday: A/B tests &amp; drift tests</t>
  </si>
  <si>
    <t xml:space="preserve">Score &gt;=75%; mathlib v1.0</t>
  </si>
  <si>
    <t xml:space="preserve">WEEKLY CHECKPOINT 6: Statistics</t>
  </si>
  <si>
    <t xml:space="preserve">Self-test 10 concept Qs + interview Qs: Bootstrap vs normal CI; What PSI measures; Compare two RAG configs statistically (score bands: &lt;40 weak, 40-60 needs work, 60-75 acceptable, 75-90 strong, 90+ excellent; &lt;75% =&gt; revise before next week) (60 min); redo hardest implementation from blank file (30 min)</t>
  </si>
  <si>
    <t xml:space="preserve">Linear regression</t>
  </si>
  <si>
    <t xml:space="preserve">MSE, GD, normal equation, scaling</t>
  </si>
  <si>
    <t xml:space="preserve">NG C1 W1-2</t>
  </si>
  <si>
    <t xml:space="preserve">NG</t>
  </si>
  <si>
    <t xml:space="preserve">https://www.coursera.org/specializations/machine-learning-introduction</t>
  </si>
  <si>
    <t xml:space="preserve">Linear regression from scratch vs sklearn</t>
  </si>
  <si>
    <t xml:space="preserve">Yesterday: Math diagnostic v2</t>
  </si>
  <si>
    <t xml:space="preserve">`ml/linear.py`</t>
  </si>
  <si>
    <t xml:space="preserve">Logistic regression</t>
  </si>
  <si>
    <t xml:space="preserve">Sigmoid, log loss, boundary</t>
  </si>
  <si>
    <t xml:space="preserve">NG C1 W3</t>
  </si>
  <si>
    <t xml:space="preserve">Logistic from scratch</t>
  </si>
  <si>
    <t xml:space="preserve">Yesterday: Linear regression</t>
  </si>
  <si>
    <t xml:space="preserve">`ml/logistic.py`</t>
  </si>
  <si>
    <t xml:space="preserve">Regularisation &amp; softmax</t>
  </si>
  <si>
    <t xml:space="preserve">L1/L2, early stopping, softmax regression</t>
  </si>
  <si>
    <t xml:space="preserve">NG C1 W3; GERON ch 4</t>
  </si>
  <si>
    <t xml:space="preserve">GERON</t>
  </si>
  <si>
    <t xml:space="preserve">https://github.com/ageron/handson-ml3</t>
  </si>
  <si>
    <t xml:space="preserve">Ridge/lasso paths; softmax on Iris</t>
  </si>
  <si>
    <t xml:space="preserve">Yesterday: Logistic regression</t>
  </si>
  <si>
    <t xml:space="preserve">Classification metrics</t>
  </si>
  <si>
    <t xml:space="preserve">Confusion, P/R/F1, PR vs ROC, thresholds</t>
  </si>
  <si>
    <t xml:space="preserve">GERON ch 3</t>
  </si>
  <si>
    <t xml:space="preserve">Metrics from scratch; curves</t>
  </si>
  <si>
    <t xml:space="preserve">Yesterday: Regularisation &amp; softmax</t>
  </si>
  <si>
    <t xml:space="preserve">`ml/metrics.py`</t>
  </si>
  <si>
    <t xml:space="preserve">Calibration &amp; cost</t>
  </si>
  <si>
    <t xml:space="preserve">Reliability diagrams, isotonic, expected cost</t>
  </si>
  <si>
    <t xml:space="preserve">GERON ch 3 + sklearn calibration docs</t>
  </si>
  <si>
    <t xml:space="preserve">Calibration curve; cost-based threshold</t>
  </si>
  <si>
    <t xml:space="preserve">Yesterday: Classification metrics</t>
  </si>
  <si>
    <t xml:space="preserve">kNN &amp; curse of dimensionality</t>
  </si>
  <si>
    <t xml:space="preserve">kNN; distances; link to ANN</t>
  </si>
  <si>
    <t xml:space="preserve">GERON ch 2 (kNN) + OWN</t>
  </si>
  <si>
    <t xml:space="preserve">kNN from scratch; dimensionality experiment</t>
  </si>
  <si>
    <t xml:space="preserve">Yesterday: Calibration &amp; cost</t>
  </si>
  <si>
    <t xml:space="preserve">`ml/knn.py` + Anki</t>
  </si>
  <si>
    <t xml:space="preserve">WEEKLY CHECKPOINT 7: Regression, classification, metrics</t>
  </si>
  <si>
    <t xml:space="preserve">Self-test 10 concept Qs + interview Qs: PR-AUC vs ROC-AUC; Why calibrate GBMs; kNN in high dimensions (score bands: &lt;40 weak, 40-60 needs work, 60-75 acceptable, 75-90 strong, 90+ excellent; &lt;75% =&gt; revise before next week) (60 min); redo hardest implementation from blank file (30 min)</t>
  </si>
  <si>
    <t xml:space="preserve">Decision trees</t>
  </si>
  <si>
    <t xml:space="preserve">Entropy/Gini, CART, pruning</t>
  </si>
  <si>
    <t xml:space="preserve">GERON ch 6; NG C2 W4</t>
  </si>
  <si>
    <t xml:space="preserve">CART from scratch</t>
  </si>
  <si>
    <t xml:space="preserve">Yesterday: kNN &amp; curse of dimensionality</t>
  </si>
  <si>
    <t xml:space="preserve">`ml/tree.py`</t>
  </si>
  <si>
    <t xml:space="preserve">Random forests</t>
  </si>
  <si>
    <t xml:space="preserve">Bootstrap, feature subsampling, OOB</t>
  </si>
  <si>
    <t xml:space="preserve">GERON ch 7</t>
  </si>
  <si>
    <t xml:space="preserve">RF from your tree</t>
  </si>
  <si>
    <t xml:space="preserve">Yesterday: Decision trees</t>
  </si>
  <si>
    <t xml:space="preserve">Gradient boosting</t>
  </si>
  <si>
    <t xml:space="preserve">Residual fitting, shrinkage, early stopping</t>
  </si>
  <si>
    <t xml:space="preserve">GERON ch 7; XGBoost paper sec 2 (arxiv 1603.02754)</t>
  </si>
  <si>
    <t xml:space="preserve">Own GBM (regression + logistic)</t>
  </si>
  <si>
    <t xml:space="preserve">Yesterday: Random forests</t>
  </si>
  <si>
    <t xml:space="preserve">`ml/gbm.py`</t>
  </si>
  <si>
    <t xml:space="preserve">LightGBM/CatBoost in practice</t>
  </si>
  <si>
    <t xml:space="preserve">Histogram, leaf-wise, ordered boosting; key params</t>
  </si>
  <si>
    <t xml:space="preserve">LGBM tuning page</t>
  </si>
  <si>
    <t xml:space="preserve">LGBM</t>
  </si>
  <si>
    <t xml:space="preserve">https://lightgbm.readthedocs.io/en/latest/Parameters-Tuning.html</t>
  </si>
  <si>
    <t xml:space="preserve">Tune 5 params on AI4I; compare libs</t>
  </si>
  <si>
    <t xml:space="preserve">Yesterday: Gradient boosting</t>
  </si>
  <si>
    <t xml:space="preserve">Table</t>
  </si>
  <si>
    <t xml:space="preserve">SHAP</t>
  </si>
  <si>
    <t xml:space="preserve">Shapley values, TreeSHAP, PDP</t>
  </si>
  <si>
    <t xml:space="preserve">SHAP intro</t>
  </si>
  <si>
    <t xml:space="preserve">https://shap.readthedocs.io/</t>
  </si>
  <si>
    <t xml:space="preserve">SHAP on GBM</t>
  </si>
  <si>
    <t xml:space="preserve">Yesterday: LightGBM/CatBoost in practice</t>
  </si>
  <si>
    <t xml:space="preserve">Plots</t>
  </si>
  <si>
    <t xml:space="preserve">Bias-variance</t>
  </si>
  <si>
    <t xml:space="preserve">Decomposition, learning curves, nested CV</t>
  </si>
  <si>
    <t xml:space="preserve">NG C2 W3</t>
  </si>
  <si>
    <t xml:space="preserve">Bias-variance simulation; learning curves</t>
  </si>
  <si>
    <t xml:space="preserve">Yesterday: SHAP</t>
  </si>
  <si>
    <t xml:space="preserve">Commit + Anki</t>
  </si>
  <si>
    <t xml:space="preserve">WEEKLY CHECKPOINT 8: Trees, forests, boosting</t>
  </si>
  <si>
    <t xml:space="preserve">Self-test 10 concept Qs + interview Qs: Boosting vs bagging overfitting; Second-order split gain; When SHAP misleads (score bands: &lt;40 weak, 40-60 needs work, 60-75 acceptable, 75-90 strong, 90+ excellent; &lt;75% =&gt; revise before next week) (60 min); redo hardest implementation from blank file (30 min)</t>
  </si>
  <si>
    <t xml:space="preserve">SVM</t>
  </si>
  <si>
    <t xml:space="preserve">Margin, hinge, C, kernels</t>
  </si>
  <si>
    <t xml:space="preserve">GERON ch 5</t>
  </si>
  <si>
    <t xml:space="preserve">Linear SVM via hinge-loss SGD; kernel SVM (sklearn)</t>
  </si>
  <si>
    <t xml:space="preserve">Yesterday: Bias-variance</t>
  </si>
  <si>
    <t xml:space="preserve">`ml/svm.py`</t>
  </si>
  <si>
    <t xml:space="preserve">k-means</t>
  </si>
  <si>
    <t xml:space="preserve">Lloyd's, k-means++, silhouette</t>
  </si>
  <si>
    <t xml:space="preserve">GERON ch 9; NG C3 W1</t>
  </si>
  <si>
    <t xml:space="preserve">k-means from scratch</t>
  </si>
  <si>
    <t xml:space="preserve">Yesterday: SVM</t>
  </si>
  <si>
    <t xml:space="preserve">`ml/kmeans.py`</t>
  </si>
  <si>
    <t xml:space="preserve">DBSCAN</t>
  </si>
  <si>
    <t xml:space="preserve">Density clustering</t>
  </si>
  <si>
    <t xml:space="preserve">GERON ch 9</t>
  </si>
  <si>
    <t xml:space="preserve">DBSCAN from scratch</t>
  </si>
  <si>
    <t xml:space="preserve">Yesterday: k-means</t>
  </si>
  <si>
    <t xml:space="preserve">GMM &amp; EM</t>
  </si>
  <si>
    <t xml:space="preserve">Responsibilities; E/M steps</t>
  </si>
  <si>
    <t xml:space="preserve">GERON ch 9; MML 11.1-11.3</t>
  </si>
  <si>
    <t xml:space="preserve">GMM via EM; derive steps</t>
  </si>
  <si>
    <t xml:space="preserve">Yesterday: DBSCAN</t>
  </si>
  <si>
    <t xml:space="preserve">`ml/gmm.py`</t>
  </si>
  <si>
    <t xml:space="preserve">PCA/t-SNE in practice</t>
  </si>
  <si>
    <t xml:space="preserve">Whitening; visualisation caveats</t>
  </si>
  <si>
    <t xml:space="preserve">GERON ch 8</t>
  </si>
  <si>
    <t xml:space="preserve">PCA vs t-SNE on MNIST</t>
  </si>
  <si>
    <t xml:space="preserve">Yesterday: GMM &amp; EM</t>
  </si>
  <si>
    <t xml:space="preserve">Anomaly detection</t>
  </si>
  <si>
    <t xml:space="preserve">Gaussian AD, Isolation Forest, OC-SVM, LOF</t>
  </si>
  <si>
    <t xml:space="preserve">NG C3 W1 + sklearn outlier docs</t>
  </si>
  <si>
    <t xml:space="preserve">3 detectors on vibration features; PR-AUC</t>
  </si>
  <si>
    <t xml:space="preserve">Yesterday: PCA/t-SNE in practice</t>
  </si>
  <si>
    <t xml:space="preserve">`ml/anomaly.py` + Anki</t>
  </si>
  <si>
    <t xml:space="preserve">WEEKLY CHECKPOINT 9: Unsupervised &amp; anomaly</t>
  </si>
  <si>
    <t xml:space="preserve">Self-test 10 concept Qs + interview Qs: Kernel trick in one sentence; EM vs k-means; Evaluate AD with 5 labels (score bands: &lt;40 weak, 40-60 needs work, 60-75 acceptable, 75-90 strong, 90+ excellent; &lt;75% =&gt; revise before next week) (60 min); redo hardest implementation from blank file (30 min)</t>
  </si>
  <si>
    <t xml:space="preserve">Class imbalance</t>
  </si>
  <si>
    <t xml:space="preserve">Weights, resampling caveats, threshold moving</t>
  </si>
  <si>
    <t xml:space="preserve">IMBL user guide</t>
  </si>
  <si>
    <t xml:space="preserve">IMBL</t>
  </si>
  <si>
    <t xml:space="preserve">https://imbalanced-learn.org/stable/user_guide.html</t>
  </si>
  <si>
    <t xml:space="preserve">Ablation: weights vs SMOTE vs threshold</t>
  </si>
  <si>
    <t xml:space="preserve">Yesterday: Anomaly detection</t>
  </si>
  <si>
    <t xml:space="preserve">Feature engineering &amp; leakage</t>
  </si>
  <si>
    <t xml:space="preserve">Encodings, target encoding w/ CV, leakage</t>
  </si>
  <si>
    <t xml:space="preserve">KAGGLE-FE</t>
  </si>
  <si>
    <t xml:space="preserve">https://www.kaggle.com/learn/feature-engineering</t>
  </si>
  <si>
    <t xml:space="preserve">Feature pipeline as transformers; leakage check</t>
  </si>
  <si>
    <t xml:space="preserve">Yesterday: Class imbalance</t>
  </si>
  <si>
    <t xml:space="preserve">`features.py`</t>
  </si>
  <si>
    <t xml:space="preserve">Time-series validation</t>
  </si>
  <si>
    <t xml:space="preserve">Rolling/lag/FFT features; TimeSeriesSplit</t>
  </si>
  <si>
    <t xml:space="preserve">OWN + sklearn TimeSeriesSplit docs</t>
  </si>
  <si>
    <t xml:space="preserve">Rolling/FFT features on vibration</t>
  </si>
  <si>
    <t xml:space="preserve">Yesterday: Feature engineering &amp; leakage</t>
  </si>
  <si>
    <t xml:space="preserve">`ts_features.py`</t>
  </si>
  <si>
    <t xml:space="preserve">Recommenders</t>
  </si>
  <si>
    <t xml:space="preserve">MF, implicit feedback, NDCG</t>
  </si>
  <si>
    <t xml:space="preserve">NG C3 W2</t>
  </si>
  <si>
    <t xml:space="preserve">MF on MovieLens 100k</t>
  </si>
  <si>
    <t xml:space="preserve">Yesterday: Time-series validation</t>
  </si>
  <si>
    <t xml:space="preserve">`ml/recsys.py`</t>
  </si>
  <si>
    <t xml:space="preserve">Model debugging</t>
  </si>
  <si>
    <t xml:space="preserve">Train/val gap, slices, error analysis</t>
  </si>
  <si>
    <t xml:space="preserve">KRECIPE (ML parts)</t>
  </si>
  <si>
    <t xml:space="preserve">KRECIPE</t>
  </si>
  <si>
    <t xml:space="preserve">https://karpathy.github.io/2019/04/25/recipe/</t>
  </si>
  <si>
    <t xml:space="preserve">Slice evaluator; fix a broken model</t>
  </si>
  <si>
    <t xml:space="preserve">Yesterday: Recommenders</t>
  </si>
  <si>
    <t xml:space="preserve">Playbook.md</t>
  </si>
  <si>
    <t xml:space="preserve">Hyperparameter search</t>
  </si>
  <si>
    <t xml:space="preserve">Random/Bayesian (Optuna), pruning</t>
  </si>
  <si>
    <t xml:space="preserve">OPTUNA tutorial</t>
  </si>
  <si>
    <t xml:space="preserve">OPTUNA</t>
  </si>
  <si>
    <t xml:space="preserve">https://optuna.readthedocs.io/</t>
  </si>
  <si>
    <t xml:space="preserve">Optuna on GBM</t>
  </si>
  <si>
    <t xml:space="preserve">Yesterday: Model debugging</t>
  </si>
  <si>
    <t xml:space="preserve">`tune.py` + Anki</t>
  </si>
  <si>
    <t xml:space="preserve">WEEKLY CHECKPOINT 10: Advanced ML</t>
  </si>
  <si>
    <t xml:space="preserve">Self-test 10 concept Qs + interview Qs: When SMOTE hurts; Detect leakage before training; Nested vs plain CV (score bands: &lt;40 weak, 40-60 needs work, 60-75 acceptable, 75-90 strong, 90+ excellent; &lt;75% =&gt; revise before next week) (60 min); redo hardest implementation from blank file (30 min)</t>
  </si>
  <si>
    <t xml:space="preserve">P1 framing &amp; data</t>
  </si>
  <si>
    <t xml:space="preserve">C-MAPSS + AI4I; cost model</t>
  </si>
  <si>
    <t xml:space="preserve">Dataset docs (NASA C-MAPSS; UCI AI4I 2020)</t>
  </si>
  <si>
    <t xml:space="preserve">Ingestion + schema tests + EDA</t>
  </si>
  <si>
    <t xml:space="preserve">Yesterday: Hyperparameter search</t>
  </si>
  <si>
    <t xml:space="preserve">Data loaded</t>
  </si>
  <si>
    <t xml:space="preserve">P1 validation &amp; baseline</t>
  </si>
  <si>
    <t xml:space="preserve">Time-based CV; baselines</t>
  </si>
  <si>
    <t xml:space="preserve">Project/build day - no new reading</t>
  </si>
  <si>
    <t xml:space="preserve">CV harness; baseline metrics</t>
  </si>
  <si>
    <t xml:space="preserve">Yesterday: P1 framing &amp; data</t>
  </si>
  <si>
    <t xml:space="preserve">Baseline report</t>
  </si>
  <si>
    <t xml:space="preserve">P1 features</t>
  </si>
  <si>
    <t xml:space="preserve">Rolling/FFT features</t>
  </si>
  <si>
    <t xml:space="preserve">Feature pipeline</t>
  </si>
  <si>
    <t xml:space="preserve">Yesterday: P1 validation &amp; baseline</t>
  </si>
  <si>
    <t xml:space="preserve">P1 models</t>
  </si>
  <si>
    <t xml:space="preserve">Logistic, RF, LightGBM</t>
  </si>
  <si>
    <t xml:space="preserve">Train 3 models; compare</t>
  </si>
  <si>
    <t xml:space="preserve">Yesterday: P1 features</t>
  </si>
  <si>
    <t xml:space="preserve">P1 calibration &amp; cost</t>
  </si>
  <si>
    <t xml:space="preserve">Calibrate; cost threshold</t>
  </si>
  <si>
    <t xml:space="preserve">Calibrate; cost curve</t>
  </si>
  <si>
    <t xml:space="preserve">Yesterday: P1 models</t>
  </si>
  <si>
    <t xml:space="preserve">P1 tuning</t>
  </si>
  <si>
    <t xml:space="preserve">Optuna</t>
  </si>
  <si>
    <t xml:space="preserve">Tune best model</t>
  </si>
  <si>
    <t xml:space="preserve">Yesterday: P1 calibration &amp; cost</t>
  </si>
  <si>
    <t xml:space="preserve">Final model</t>
  </si>
  <si>
    <t xml:space="preserve">WEEKLY CHECKPOINT 11: PROJECT 1: PredictiveMaint-ML (week 1)</t>
  </si>
  <si>
    <t xml:space="preserve">Self-test 10 concept Qs + interview Qs: Why time-based CV; Defend metric choice; Baseline choice (score bands: &lt;40 weak, 40-60 needs work, 60-75 acceptable, 75-90 strong, 90+ excellent; &lt;75% =&gt; revise before next week) (60 min); redo hardest implementation from blank file (30 min)</t>
  </si>
  <si>
    <t xml:space="preserve">P1 error analysis</t>
  </si>
  <si>
    <t xml:space="preserve">Slices, failure modes</t>
  </si>
  <si>
    <t xml:space="preserve">Error analysis</t>
  </si>
  <si>
    <t xml:space="preserve">Yesterday: P1 tuning</t>
  </si>
  <si>
    <t xml:space="preserve">Report</t>
  </si>
  <si>
    <t xml:space="preserve">P1 SHAP</t>
  </si>
  <si>
    <t xml:space="preserve">Interpretation</t>
  </si>
  <si>
    <t xml:space="preserve">Refer SHAP documentation as needed</t>
  </si>
  <si>
    <t xml:space="preserve">SHAP plots</t>
  </si>
  <si>
    <t xml:space="preserve">Yesterday: P1 error analysis</t>
  </si>
  <si>
    <t xml:space="preserve">P1 model card</t>
  </si>
  <si>
    <t xml:space="preserve">Documentation standard</t>
  </si>
  <si>
    <t xml:space="preserve">Model card</t>
  </si>
  <si>
    <t xml:space="preserve">Yesterday: P1 SHAP</t>
  </si>
  <si>
    <t xml:space="preserve">model_card.md</t>
  </si>
  <si>
    <t xml:space="preserve">P1 README + reproducibility</t>
  </si>
  <si>
    <t xml:space="preserve">Clean-clone reproduce</t>
  </si>
  <si>
    <t xml:space="preserve">Reproduce from scratch; fix</t>
  </si>
  <si>
    <t xml:space="preserve">Yesterday: P1 model card</t>
  </si>
  <si>
    <t xml:space="preserve">README</t>
  </si>
  <si>
    <t xml:space="preserve">P1 API stub</t>
  </si>
  <si>
    <t xml:space="preserve">FastAPI batch scoring</t>
  </si>
  <si>
    <t xml:space="preserve">FASTAPI tutorial</t>
  </si>
  <si>
    <t xml:space="preserve">FASTAPI</t>
  </si>
  <si>
    <t xml:space="preserve">https://fastapi.tiangolo.com/</t>
  </si>
  <si>
    <t xml:space="preserve">Scoring endpoint + test</t>
  </si>
  <si>
    <t xml:space="preserve">Yesterday: P1 README + reproducibility</t>
  </si>
  <si>
    <t xml:space="preserve">API</t>
  </si>
  <si>
    <t xml:space="preserve">P1 defence</t>
  </si>
  <si>
    <t xml:space="preserve">9 project questions</t>
  </si>
  <si>
    <t xml:space="preserve">Answer in writing; 5-min recorded explanation</t>
  </si>
  <si>
    <t xml:space="preserve">Yesterday: P1 API stub</t>
  </si>
  <si>
    <t xml:space="preserve">CP1 self-grade</t>
  </si>
  <si>
    <t xml:space="preserve">WEEKLY CHECKPOINT 12: PROJECT 1 (week 2)</t>
  </si>
  <si>
    <t xml:space="preserve">Self-test 10 concept Qs + interview Qs: What leaked and how found; What you'd change in V2; Cost-curve interpretation (score bands: &lt;40 weak, 40-60 needs work, 60-75 acceptable, 75-90 strong, 90+ excellent; &lt;75% =&gt; revise before next week) (60 min); redo hardest implementation from blank file (30 min)</t>
  </si>
  <si>
    <t xml:space="preserve">micrograd I</t>
  </si>
  <si>
    <t xml:space="preserve">Derivatives, graph, forward</t>
  </si>
  <si>
    <t xml:space="preserve">KZ micrograd (first half)</t>
  </si>
  <si>
    <t xml:space="preserve">KZ</t>
  </si>
  <si>
    <t xml:space="preserve">https://karpathy.ai/zero-to-hero.html</t>
  </si>
  <si>
    <t xml:space="preserve">Value class + forward</t>
  </si>
  <si>
    <t xml:space="preserve">Yesterday: P1 defence</t>
  </si>
  <si>
    <t xml:space="preserve">micrograd II</t>
  </si>
  <si>
    <t xml:space="preserve">Backward, topological sort, MLP, training loop</t>
  </si>
  <si>
    <t xml:space="preserve">KZ micrograd (second half)</t>
  </si>
  <si>
    <t xml:space="preserve">backward() + MLP; gradient check</t>
  </si>
  <si>
    <t xml:space="preserve">Yesterday: micrograd I</t>
  </si>
  <si>
    <t xml:space="preserve">Gradcheck &lt;1e-5</t>
  </si>
  <si>
    <t xml:space="preserve">makemore 1</t>
  </si>
  <si>
    <t xml:space="preserve">Bigram, NLL, one-layer NN</t>
  </si>
  <si>
    <t xml:space="preserve">KZ makemore 1</t>
  </si>
  <si>
    <t xml:space="preserve">Bigram LM (counts + NN)</t>
  </si>
  <si>
    <t xml:space="preserve">Yesterday: micrograd II</t>
  </si>
  <si>
    <t xml:space="preserve">makemore 2</t>
  </si>
  <si>
    <t xml:space="preserve">Embeddings, context, mini-batch, LR sweep</t>
  </si>
  <si>
    <t xml:space="preserve">KZ makemore 2</t>
  </si>
  <si>
    <t xml:space="preserve">MLP LM; LR sweep plot</t>
  </si>
  <si>
    <t xml:space="preserve">Yesterday: makemore 1</t>
  </si>
  <si>
    <t xml:space="preserve">makemore 3</t>
  </si>
  <si>
    <t xml:space="preserve">Init, saturation, batchnorm</t>
  </si>
  <si>
    <t xml:space="preserve">KZ makemore 3</t>
  </si>
  <si>
    <t xml:space="preserve">BatchNorm1d from scratch; stats plots</t>
  </si>
  <si>
    <t xml:space="preserve">Yesterday: makemore 2</t>
  </si>
  <si>
    <t xml:space="preserve">makemore 4</t>
  </si>
  <si>
    <t xml:space="preserve">Manual backprop through CE/linear/tanh/BN</t>
  </si>
  <si>
    <t xml:space="preserve">KZ makemore 4</t>
  </si>
  <si>
    <t xml:space="preserve">Manual gradients match PyTorch</t>
  </si>
  <si>
    <t xml:space="preserve">Yesterday: makemore 3</t>
  </si>
  <si>
    <t xml:space="preserve">allclose passes + Anki</t>
  </si>
  <si>
    <t xml:space="preserve">WEEKLY CHECKPOINT 13: DL from scratch</t>
  </si>
  <si>
    <t xml:space="preserve">Self-test 10 concept Qs + interview Qs: Why Kaiming init; BatchNorm at test time; Backprop of softmax-CE (score bands: &lt;40 weak, 40-60 needs work, 60-75 acceptable, 75-90 strong, 90+ excellent; &lt;75% =&gt; revise before next week) (60 min); redo hardest implementation from blank file (30 min)</t>
  </si>
  <si>
    <t xml:space="preserve">Tensors &amp; autograd</t>
  </si>
  <si>
    <t xml:space="preserve">Views, broadcasting, autograd graph, detach</t>
  </si>
  <si>
    <t xml:space="preserve">PT-TUT Basics + Autograd</t>
  </si>
  <si>
    <t xml:space="preserve">Autograd experiments; custom autograd.Function</t>
  </si>
  <si>
    <t xml:space="preserve">Yesterday: makemore 4</t>
  </si>
  <si>
    <t xml:space="preserve">Dataset/DataLoader/nn.Module</t>
  </si>
  <si>
    <t xml:space="preserve">Custom datasets, collate, workers</t>
  </si>
  <si>
    <t xml:space="preserve">PT-TUT Data</t>
  </si>
  <si>
    <t xml:space="preserve">Dataset for vibration windows; Module</t>
  </si>
  <si>
    <t xml:space="preserve">Yesterday: Tensors &amp; autograd</t>
  </si>
  <si>
    <t xml:space="preserve">Training loop from memory</t>
  </si>
  <si>
    <t xml:space="preserve">Optimizers, schedulers, clipping, eval mode</t>
  </si>
  <si>
    <t xml:space="preserve">PT-TUT Optimization</t>
  </si>
  <si>
    <t xml:space="preserve">Blank-file loop with config/seed/logging (timed)</t>
  </si>
  <si>
    <t xml:space="preserve">Yesterday: Dataset/DataLoader/nn.Module</t>
  </si>
  <si>
    <t xml:space="preserve">&lt;20 min from memory</t>
  </si>
  <si>
    <t xml:space="preserve">AMP + checkpoints</t>
  </si>
  <si>
    <t xml:space="preserve">autocast, GradScaler, resume</t>
  </si>
  <si>
    <t xml:space="preserve">PT-AMP; PT-TUT Save/Load</t>
  </si>
  <si>
    <t xml:space="preserve">PT-AMP</t>
  </si>
  <si>
    <t xml:space="preserve">https://docs.pytorch.org/tutorials/recipes/recipes/amp_recipe.html</t>
  </si>
  <si>
    <t xml:space="preserve">AMP loop on 3060; VRAM vs batch; resume</t>
  </si>
  <si>
    <t xml:space="preserve">Yesterday: Training loop from memory</t>
  </si>
  <si>
    <t xml:space="preserve">Profiling</t>
  </si>
  <si>
    <t xml:space="preserve">torch.profiler; data-loading bottlenecks</t>
  </si>
  <si>
    <t xml:space="preserve">PT-PROF</t>
  </si>
  <si>
    <t xml:space="preserve">https://docs.pytorch.org/tutorials/recipes/recipes/profiler_recipe.html</t>
  </si>
  <si>
    <t xml:space="preserve">Profile; fix top bottleneck</t>
  </si>
  <si>
    <t xml:space="preserve">Yesterday: AMP + checkpoints</t>
  </si>
  <si>
    <t xml:space="preserve">makemore 5 + torch.compile</t>
  </si>
  <si>
    <t xml:space="preserve">WaveNet-style model; compile speed test</t>
  </si>
  <si>
    <t xml:space="preserve">KZ makemore 5; torch.compile docs</t>
  </si>
  <si>
    <t xml:space="preserve">WaveNet makemore; compile timing</t>
  </si>
  <si>
    <t xml:space="preserve">Yesterday: Profiling</t>
  </si>
  <si>
    <t xml:space="preserve">WEEKLY CHECKPOINT 14: PyTorch mastery</t>
  </si>
  <si>
    <t xml:space="preserve">Self-test 10 concept Qs + interview Qs: autocast vs GradScaler; Why num_workers matters; What torch.compile does (score bands: &lt;40 weak, 40-60 needs work, 60-75 acceptable, 75-90 strong, 90+ excellent; &lt;75% =&gt; revise before next week) (60 min); redo hardest implementation from blank file (30 min)</t>
  </si>
  <si>
    <t xml:space="preserve">Init &amp; normalisation</t>
  </si>
  <si>
    <t xml:space="preserve">Kaiming/Xavier; BN/LN/GN placement</t>
  </si>
  <si>
    <t xml:space="preserve">KRECIPE; BN paper (arxiv 1502.03167) skim</t>
  </si>
  <si>
    <t xml:space="preserve">Compare norms on small model</t>
  </si>
  <si>
    <t xml:space="preserve">Yesterday: makemore 5 + torch.compile</t>
  </si>
  <si>
    <t xml:space="preserve">Optimisation in practice</t>
  </si>
  <si>
    <t xml:space="preserve">AdamW, warmup+cosine, LR finder, clipping</t>
  </si>
  <si>
    <t xml:space="preserve">KRECIPE; AdamW paper (arxiv 1711.05101) skim</t>
  </si>
  <si>
    <t xml:space="preserve">LR finder; schedule ablation</t>
  </si>
  <si>
    <t xml:space="preserve">Yesterday: Init &amp; normalisation</t>
  </si>
  <si>
    <t xml:space="preserve">Regularisation &amp; augmentation</t>
  </si>
  <si>
    <t xml:space="preserve">Weight decay, dropout, label smoothing, mixup</t>
  </si>
  <si>
    <t xml:space="preserve">Ablation on small dataset</t>
  </si>
  <si>
    <t xml:space="preserve">Yesterday: Optimisation in practice</t>
  </si>
  <si>
    <t xml:space="preserve">Debugging runs</t>
  </si>
  <si>
    <t xml:space="preserve">NaNs, no-decrease, overfit-one-batch</t>
  </si>
  <si>
    <t xml:space="preserve">Refer Karpathy - A Recipe for Training Neural Networks as needed</t>
  </si>
  <si>
    <t xml:space="preserve">Fix 4 broken runs; write checklist</t>
  </si>
  <si>
    <t xml:space="preserve">Yesterday: Regularisation &amp; augmentation</t>
  </si>
  <si>
    <t xml:space="preserve">debug_checklist.md</t>
  </si>
  <si>
    <t xml:space="preserve">Diagnostics toolkit</t>
  </si>
  <si>
    <t xml:space="preserve">Grad norms, activation stats, update ratios</t>
  </si>
  <si>
    <t xml:space="preserve">Hooks-based diagnostics</t>
  </si>
  <si>
    <t xml:space="preserve">Yesterday: Debugging runs</t>
  </si>
  <si>
    <t xml:space="preserve">`diagnostics.py`</t>
  </si>
  <si>
    <t xml:space="preserve">Reproducibility</t>
  </si>
  <si>
    <t xml:space="preserve">Seeds, determinism, configs</t>
  </si>
  <si>
    <t xml:space="preserve">PyTorch reproducibility docs</t>
  </si>
  <si>
    <t xml:space="preserve">Config-driven runs; determinism test</t>
  </si>
  <si>
    <t xml:space="preserve">Yesterday: Diagnostics toolkit</t>
  </si>
  <si>
    <t xml:space="preserve">WEEKLY CHECKPOINT 15: Training craft</t>
  </si>
  <si>
    <t xml:space="preserve">Self-test 10 concept Qs + interview Qs: Why warmup for transformers; Overfit-one-batch purpose; LayerNorm vs BatchNorm placement (score bands: &lt;40 weak, 40-60 needs work, 60-75 acceptable, 75-90 strong, 90+ excellent; &lt;75% =&gt; revise before next week) (60 min); redo hardest implementation from blank file (30 min)</t>
  </si>
  <si>
    <t xml:space="preserve">Convolution math</t>
  </si>
  <si>
    <t xml:space="preserve">Kernels, padding, stride, receptive field</t>
  </si>
  <si>
    <t xml:space="preserve">CS231N CNN notes</t>
  </si>
  <si>
    <t xml:space="preserve">CS231N</t>
  </si>
  <si>
    <t xml:space="preserve">https://cs231n.github.io/</t>
  </si>
  <si>
    <t xml:space="preserve">conv2d from scratch; RF calculator</t>
  </si>
  <si>
    <t xml:space="preserve">Yesterday: Reproducibility</t>
  </si>
  <si>
    <t xml:space="preserve">ResNet</t>
  </si>
  <si>
    <t xml:space="preserve">Skip connections, BN in CNNs, 1x1 convs</t>
  </si>
  <si>
    <t xml:space="preserve">RESNET sec 3-4</t>
  </si>
  <si>
    <t xml:space="preserve">RESNET</t>
  </si>
  <si>
    <t xml:space="preserve">https://arxiv.org/abs/1512.03385</t>
  </si>
  <si>
    <t xml:space="preserve">Small ResNet in PyTorch</t>
  </si>
  <si>
    <t xml:space="preserve">Yesterday: Convolution math</t>
  </si>
  <si>
    <t xml:space="preserve">Spectrogram pipeline</t>
  </si>
  <si>
    <t xml:space="preserve">STFT/mel, log scaling, SpecAugment</t>
  </si>
  <si>
    <t xml:space="preserve">TORCHAUDIO transforms</t>
  </si>
  <si>
    <t xml:space="preserve">TORCHAUDIO</t>
  </si>
  <si>
    <t xml:space="preserve">https://docs.pytorch.org/audio/stable/transforms.html</t>
  </si>
  <si>
    <t xml:space="preserve">Spectrogram pipeline for CWRU/MIMII</t>
  </si>
  <si>
    <t xml:space="preserve">Yesterday: ResNet</t>
  </si>
  <si>
    <t xml:space="preserve">Transfer learning</t>
  </si>
  <si>
    <t xml:space="preserve">Pretrained backbones, freezing, per-layer LR</t>
  </si>
  <si>
    <t xml:space="preserve">PT-TUT transfer learning tutorial</t>
  </si>
  <si>
    <t xml:space="preserve">Fine-tune pretrained vs scratch</t>
  </si>
  <si>
    <t xml:space="preserve">Yesterday: Spectrogram pipeline</t>
  </si>
  <si>
    <t xml:space="preserve">Grad-CAM</t>
  </si>
  <si>
    <t xml:space="preserve">CNN interpretability</t>
  </si>
  <si>
    <t xml:space="preserve">Grad-CAM paper (arxiv 1610.02391) skim</t>
  </si>
  <si>
    <t xml:space="preserve">Grad-CAM on spectrograms</t>
  </si>
  <si>
    <t xml:space="preserve">Yesterday: Transfer learning</t>
  </si>
  <si>
    <t xml:space="preserve">Efficient CNNs</t>
  </si>
  <si>
    <t xml:space="preserve">Depthwise separable; MobileNet</t>
  </si>
  <si>
    <t xml:space="preserve">MOBILENET sec 3</t>
  </si>
  <si>
    <t xml:space="preserve">MOBILENET</t>
  </si>
  <si>
    <t xml:space="preserve">https://arxiv.org/abs/1801.04381</t>
  </si>
  <si>
    <t xml:space="preserve">MobileNet-style model; size/latency</t>
  </si>
  <si>
    <t xml:space="preserve">Yesterday: Grad-CAM</t>
  </si>
  <si>
    <t xml:space="preserve">WEEKLY CHECKPOINT 16: CNNs</t>
  </si>
  <si>
    <t xml:space="preserve">Self-test 10 concept Qs + interview Qs: RF of stacked 3x3 convs; Why residuals help; Depthwise FLOPs saving (score bands: &lt;40 weak, 40-60 needs work, 60-75 acceptable, 75-90 strong, 90+ excellent; &lt;75% =&gt; revise before next week) (60 min); redo hardest implementation from blank file (30 min)</t>
  </si>
  <si>
    <t xml:space="preserve">RNN &amp; BPTT</t>
  </si>
  <si>
    <t xml:space="preserve">Recurrence, vanishing gradients</t>
  </si>
  <si>
    <t xml:space="preserve">D2L ch 9</t>
  </si>
  <si>
    <t xml:space="preserve">D2L</t>
  </si>
  <si>
    <t xml:space="preserve">https://d2l.ai/</t>
  </si>
  <si>
    <t xml:space="preserve">RNN from scratch</t>
  </si>
  <si>
    <t xml:space="preserve">Yesterday: Efficient CNNs</t>
  </si>
  <si>
    <t xml:space="preserve">LSTM/GRU</t>
  </si>
  <si>
    <t xml:space="preserve">Gates, cell state</t>
  </si>
  <si>
    <t xml:space="preserve">D2L ch 10; Olah 'Understanding LSTMs' blog</t>
  </si>
  <si>
    <t xml:space="preserve">LSTM from scratch vs nn.LSTM</t>
  </si>
  <si>
    <t xml:space="preserve">Yesterday: RNN &amp; BPTT</t>
  </si>
  <si>
    <t xml:space="preserve">Packing &amp; masking</t>
  </si>
  <si>
    <t xml:space="preserve">Padding/packing, sequence classification</t>
  </si>
  <si>
    <t xml:space="preserve">PyTorch pack_padded_sequence docs</t>
  </si>
  <si>
    <t xml:space="preserve">Sequence classifier on sensor windows</t>
  </si>
  <si>
    <t xml:space="preserve">Yesterday: LSTM/GRU</t>
  </si>
  <si>
    <t xml:space="preserve">seq2seq + Bahdanau attention</t>
  </si>
  <si>
    <t xml:space="preserve">Encoder-decoder; attention as alignment</t>
  </si>
  <si>
    <t xml:space="preserve">D2L ch 10.7, 11.4</t>
  </si>
  <si>
    <t xml:space="preserve">seq2seq with attention (toy)</t>
  </si>
  <si>
    <t xml:space="preserve">Yesterday: Packing &amp; masking</t>
  </si>
  <si>
    <t xml:space="preserve">Why transformers replaced RNNs</t>
  </si>
  <si>
    <t xml:space="preserve">Parallelism, path length</t>
  </si>
  <si>
    <t xml:space="preserve">AIAYN sec 4</t>
  </si>
  <si>
    <t xml:space="preserve">AIAYN</t>
  </si>
  <si>
    <t xml:space="preserve">https://arxiv.org/abs/1706.03762</t>
  </si>
  <si>
    <t xml:space="preserve">LSTM vs tiny transformer on same task</t>
  </si>
  <si>
    <t xml:space="preserve">Yesterday: seq2seq + Bahdanau attention</t>
  </si>
  <si>
    <t xml:space="preserve">Comparison</t>
  </si>
  <si>
    <t xml:space="preserve">TCN</t>
  </si>
  <si>
    <t xml:space="preserve">Dilated 1-D convs</t>
  </si>
  <si>
    <t xml:space="preserve">TCN paper (arxiv 1803.01271) skim</t>
  </si>
  <si>
    <t xml:space="preserve">TCN on vibration windows</t>
  </si>
  <si>
    <t xml:space="preserve">Yesterday: Why transformers replaced RNNs</t>
  </si>
  <si>
    <t xml:space="preserve">WEEKLY CHECKPOINT 17: Sequence models</t>
  </si>
  <si>
    <t xml:space="preserve">Self-test 10 concept Qs + interview Qs: Why LSTMs mitigate vanishing gradients; Attention as alignment; Path length argument (score bands: &lt;40 weak, 40-60 needs work, 60-75 acceptable, 75-90 strong, 90+ excellent; &lt;75% =&gt; revise before next week) (60 min); redo hardest implementation from blank file (30 min)</t>
  </si>
  <si>
    <t xml:space="preserve">P2 data pipeline</t>
  </si>
  <si>
    <t xml:space="preserve">CWRU/MIMII + own captures</t>
  </si>
  <si>
    <t xml:space="preserve">Dataset docs</t>
  </si>
  <si>
    <t xml:space="preserve">Pipeline + tests</t>
  </si>
  <si>
    <t xml:space="preserve">Yesterday: TCN</t>
  </si>
  <si>
    <t xml:space="preserve">P2 training</t>
  </si>
  <si>
    <t xml:space="preserve">Small ResNet, AMP, augmentation</t>
  </si>
  <si>
    <t xml:space="preserve">Train; log</t>
  </si>
  <si>
    <t xml:space="preserve">Yesterday: P2 data pipeline</t>
  </si>
  <si>
    <t xml:space="preserve">P2 diagnostics &amp; tuning</t>
  </si>
  <si>
    <t xml:space="preserve">Use your toolkit</t>
  </si>
  <si>
    <t xml:space="preserve">Diagnose; tune</t>
  </si>
  <si>
    <t xml:space="preserve">Yesterday: P2 training</t>
  </si>
  <si>
    <t xml:space="preserve">Best model</t>
  </si>
  <si>
    <t xml:space="preserve">P2 ONNX export</t>
  </si>
  <si>
    <t xml:space="preserve">Opset, dynamic axes, parity</t>
  </si>
  <si>
    <t xml:space="preserve">ONNX export docs</t>
  </si>
  <si>
    <t xml:space="preserve">ONNX</t>
  </si>
  <si>
    <t xml:space="preserve">https://onnxruntime.ai/docs/</t>
  </si>
  <si>
    <t xml:space="preserve">Export + parity test</t>
  </si>
  <si>
    <t xml:space="preserve">Yesterday: P2 diagnostics &amp; tuning</t>
  </si>
  <si>
    <t xml:space="preserve">Parity &lt;1e-4</t>
  </si>
  <si>
    <t xml:space="preserve">P2 quantisation</t>
  </si>
  <si>
    <t xml:space="preserve">PTQ INT8 in ORT</t>
  </si>
  <si>
    <t xml:space="preserve">ONNX quantization docs</t>
  </si>
  <si>
    <t xml:space="preserve">Quantise; accuracy/size table</t>
  </si>
  <si>
    <t xml:space="preserve">Yesterday: P2 ONNX export</t>
  </si>
  <si>
    <t xml:space="preserve">P2 RPi setup</t>
  </si>
  <si>
    <t xml:space="preserve">ORT on ARM; threads</t>
  </si>
  <si>
    <t xml:space="preserve">ONNX + RPi docs</t>
  </si>
  <si>
    <t xml:space="preserve">Install; first inference</t>
  </si>
  <si>
    <t xml:space="preserve">Yesterday: P2 quantisation</t>
  </si>
  <si>
    <t xml:space="preserve">Runs on RPi</t>
  </si>
  <si>
    <t xml:space="preserve">WEEKLY CHECKPOINT 18: PROJECT 2: EdgeVibe-CNN (week 1)</t>
  </si>
  <si>
    <t xml:space="preserve">Self-test 10 concept Qs + interview Qs: INT8 and batchnorm; Export pitfalls; Calibration data choice (score bands: &lt;40 weak, 40-60 needs work, 60-75 acceptable, 75-90 strong, 90+ excellent; &lt;75% =&gt; revise before next week) (60 min); redo hardest implementation from blank file (30 min)</t>
  </si>
  <si>
    <t xml:space="preserve">P2 benchmark</t>
  </si>
  <si>
    <t xml:space="preserve">p50/p95 latency; thread sweep</t>
  </si>
  <si>
    <t xml:space="preserve">Benchmark harness</t>
  </si>
  <si>
    <t xml:space="preserve">Yesterday: P2 RPi setup</t>
  </si>
  <si>
    <t xml:space="preserve">Latency table</t>
  </si>
  <si>
    <t xml:space="preserve">P2 service</t>
  </si>
  <si>
    <t xml:space="preserve">systemd + MQTT publish</t>
  </si>
  <si>
    <t xml:space="preserve">RPi docs</t>
  </si>
  <si>
    <t xml:space="preserve">Service running</t>
  </si>
  <si>
    <t xml:space="preserve">Yesterday: P2 benchmark</t>
  </si>
  <si>
    <t xml:space="preserve">P2 accuracy-latency curve</t>
  </si>
  <si>
    <t xml:space="preserve">FP32 vs INT8 vs smaller model</t>
  </si>
  <si>
    <t xml:space="preserve">Curve</t>
  </si>
  <si>
    <t xml:space="preserve">Yesterday: P2 service</t>
  </si>
  <si>
    <t xml:space="preserve">Plot</t>
  </si>
  <si>
    <t xml:space="preserve">P2 README</t>
  </si>
  <si>
    <t xml:space="preserve">Docs, plots</t>
  </si>
  <si>
    <t xml:space="preserve">Yesterday: P2 accuracy-latency curve</t>
  </si>
  <si>
    <t xml:space="preserve">P2 reproduce</t>
  </si>
  <si>
    <t xml:space="preserve">Clean clone</t>
  </si>
  <si>
    <t xml:space="preserve">Reproduce; fix</t>
  </si>
  <si>
    <t xml:space="preserve">Yesterday: P2 README</t>
  </si>
  <si>
    <t xml:space="preserve">Green</t>
  </si>
  <si>
    <t xml:space="preserve">P2 defence</t>
  </si>
  <si>
    <t xml:space="preserve">9 questions + video</t>
  </si>
  <si>
    <t xml:space="preserve">Written answers + 3-min video</t>
  </si>
  <si>
    <t xml:space="preserve">Yesterday: P2 reproduce</t>
  </si>
  <si>
    <t xml:space="preserve">CP2 self-grade</t>
  </si>
  <si>
    <t xml:space="preserve">WEEKLY CHECKPOINT 19: PROJECT 2 (week 2)</t>
  </si>
  <si>
    <t xml:space="preserve">Self-test 10 concept Qs + interview Qs: How you measured latency honestly; Why spectrogram+CNN; What breaks on ARM (score bands: &lt;40 weak, 40-60 needs work, 60-75 acceptable, 75-90 strong, 90+ excellent; &lt;75% =&gt; revise before next week) (60 min); redo hardest implementation from blank file (30 min)</t>
  </si>
  <si>
    <t xml:space="preserve">Self-attention trick</t>
  </si>
  <si>
    <t xml:space="preserve">Averaging via matmul, masking</t>
  </si>
  <si>
    <t xml:space="preserve">KZ 'Let's build GPT' 0:00-1:00; RASCHKA 3.1-3.3</t>
  </si>
  <si>
    <t xml:space="preserve">Weighted aggregation; simple attention</t>
  </si>
  <si>
    <t xml:space="preserve">Yesterday: P2 defence</t>
  </si>
  <si>
    <t xml:space="preserve">Scaled dot-product, causal</t>
  </si>
  <si>
    <t xml:space="preserve">Q/K/V, sqrt(d_k), mask</t>
  </si>
  <si>
    <t xml:space="preserve">RASCHKA 3.4-3.5; AIAYN 3.2</t>
  </si>
  <si>
    <t xml:space="preserve">RASCHKA</t>
  </si>
  <si>
    <t xml:space="preserve">https://github.com/rasbt/LLMs-from-scratch</t>
  </si>
  <si>
    <t xml:space="preserve">CausalAttention + mask tests</t>
  </si>
  <si>
    <t xml:space="preserve">Yesterday: Self-attention trick</t>
  </si>
  <si>
    <t xml:space="preserve">Multi-head attention</t>
  </si>
  <si>
    <t xml:space="preserve">Weight-split heads, projection</t>
  </si>
  <si>
    <t xml:space="preserve">RASCHKA 3.6; AIAYN 3.2.2</t>
  </si>
  <si>
    <t xml:space="preserve">MHA vs nn.MultiheadAttention</t>
  </si>
  <si>
    <t xml:space="preserve">Yesterday: Scaled dot-product, causal</t>
  </si>
  <si>
    <t xml:space="preserve">Positional encodings</t>
  </si>
  <si>
    <t xml:space="preserve">Sinusoidal, learned, RoPE</t>
  </si>
  <si>
    <t xml:space="preserve">AIAYN 3.5; ROPE sec 3</t>
  </si>
  <si>
    <t xml:space="preserve">ROPE</t>
  </si>
  <si>
    <t xml:space="preserve">https://arxiv.org/abs/2104.09864</t>
  </si>
  <si>
    <t xml:space="preserve">Sinusoidal + RoPE implementation</t>
  </si>
  <si>
    <t xml:space="preserve">Yesterday: Multi-head attention</t>
  </si>
  <si>
    <t xml:space="preserve">Block: LN, residuals, FFN, GELU</t>
  </si>
  <si>
    <t xml:space="preserve">Pre-LN vs post-LN</t>
  </si>
  <si>
    <t xml:space="preserve">RASCHKA 4.1-4.5</t>
  </si>
  <si>
    <t xml:space="preserve">Transformer block; gradient-flow test</t>
  </si>
  <si>
    <t xml:space="preserve">Yesterday: Positional encodings</t>
  </si>
  <si>
    <t xml:space="preserve">Encoder-decoder &amp; masks</t>
  </si>
  <si>
    <t xml:space="preserve">Cross-attention, padding masks</t>
  </si>
  <si>
    <t xml:space="preserve">AIAYN sec 3; RASCHKA ch 1</t>
  </si>
  <si>
    <t xml:space="preserve">Tiny encoder-decoder (toy)</t>
  </si>
  <si>
    <t xml:space="preserve">Yesterday: Block: LN, residuals, FFN, GELU</t>
  </si>
  <si>
    <t xml:space="preserve">WEEKLY CHECKPOINT 20: Attention &amp; transformer</t>
  </si>
  <si>
    <t xml:space="preserve">Self-test 10 concept Qs + interview Qs: Why sqrt(d_k); Pre-LN vs post-LN; RoPE vs learned (score bands: &lt;40 weak, 40-60 needs work, 60-75 acceptable, 75-90 strong, 90+ excellent; &lt;75% =&gt; revise before next week) (60 min); redo hardest implementation from blank file (30 min)</t>
  </si>
  <si>
    <t xml:space="preserve">BPE tokenizer</t>
  </si>
  <si>
    <t xml:space="preserve">Merges, special tokens</t>
  </si>
  <si>
    <t xml:space="preserve">RASCHKA 2.1-2.5; KZ tokenizer video</t>
  </si>
  <si>
    <t xml:space="preserve">Own BPE trainer; compare tiktoken</t>
  </si>
  <si>
    <t xml:space="preserve">Yesterday: Encoder-decoder &amp; masks</t>
  </si>
  <si>
    <t xml:space="preserve">`bpe.py` + tests</t>
  </si>
  <si>
    <t xml:space="preserve">Data loading &amp; embeddings</t>
  </si>
  <si>
    <t xml:space="preserve">Sliding window; token+pos embeddings</t>
  </si>
  <si>
    <t xml:space="preserve">RASCHKA 2.6-2.8</t>
  </si>
  <si>
    <t xml:space="preserve">GPTDataset + loader</t>
  </si>
  <si>
    <t xml:space="preserve">Yesterday: BPE tokenizer</t>
  </si>
  <si>
    <t xml:space="preserve">Full GPT</t>
  </si>
  <si>
    <t xml:space="preserve">Config, stacking, head, params</t>
  </si>
  <si>
    <t xml:space="preserve">RASCHKA 4.6-4.7</t>
  </si>
  <si>
    <t xml:space="preserve">GPTModel (124M); greedy generate</t>
  </si>
  <si>
    <t xml:space="preserve">Yesterday: Data loading &amp; embeddings</t>
  </si>
  <si>
    <t xml:space="preserve">Load GPT-2 weights</t>
  </si>
  <si>
    <t xml:space="preserve">Weight mapping; verification</t>
  </si>
  <si>
    <t xml:space="preserve">RASCHKA 5.5</t>
  </si>
  <si>
    <t xml:space="preserve">Load OpenAI GPT-2; logit diff vs HF</t>
  </si>
  <si>
    <t xml:space="preserve">Yesterday: Full GPT</t>
  </si>
  <si>
    <t xml:space="preserve">Diff &lt;1e-3</t>
  </si>
  <si>
    <t xml:space="preserve">Modern arch: RMSNorm/SwiGLU/RoPE/GQA</t>
  </si>
  <si>
    <t xml:space="preserve">LLaMA-style components</t>
  </si>
  <si>
    <t xml:space="preserve">CS336 lecture 3; LLaMA paper sec 2 (arxiv 2302.13971)</t>
  </si>
  <si>
    <t xml:space="preserve">CS336</t>
  </si>
  <si>
    <t xml:space="preserve">https://stanford-cs336.github.io/</t>
  </si>
  <si>
    <t xml:space="preserve">Variant model</t>
  </si>
  <si>
    <t xml:space="preserve">Yesterday: Load GPT-2 weights</t>
  </si>
  <si>
    <t xml:space="preserve">HF ecosystem</t>
  </si>
  <si>
    <t xml:space="preserve">AutoModel, generate(), safetensors</t>
  </si>
  <si>
    <t xml:space="preserve">HF-LLM ch 1-2</t>
  </si>
  <si>
    <t xml:space="preserve">HF-LLM</t>
  </si>
  <si>
    <t xml:space="preserve">https://huggingface.co/learn/llm-course</t>
  </si>
  <si>
    <t xml:space="preserve">Export your model to HF format</t>
  </si>
  <si>
    <t xml:space="preserve">Yesterday: Modern arch: RMSNorm/SwiGLU/RoPE/GQA</t>
  </si>
  <si>
    <t xml:space="preserve">WEEKLY CHECKPOINT 21: Building GPT</t>
  </si>
  <si>
    <t xml:space="preserve">Self-test 10 concept Qs + interview Qs: BPE merge algorithm; Why GQA cuts KV memory; What safetensors fixes (score bands: &lt;40 weak, 40-60 needs work, 60-75 acceptable, 75-90 strong, 90+ excellent; &lt;75% =&gt; revise before next week) (60 min); redo hardest implementation from blank file (30 min)</t>
  </si>
  <si>
    <t xml:space="preserve">Loss, perplexity, loop</t>
  </si>
  <si>
    <t xml:space="preserve">CE over sequences; AdamW; warmup+cosine</t>
  </si>
  <si>
    <t xml:space="preserve">RASCHKA 5.1-5.2</t>
  </si>
  <si>
    <t xml:space="preserve">Training loop; small run</t>
  </si>
  <si>
    <t xml:space="preserve">Yesterday: HF ecosystem</t>
  </si>
  <si>
    <t xml:space="preserve">Loss curve</t>
  </si>
  <si>
    <t xml:space="preserve">Sampling</t>
  </si>
  <si>
    <t xml:space="preserve">Temperature, top-k, top-p, repetition penalty</t>
  </si>
  <si>
    <t xml:space="preserve">RASCHKA 5.3</t>
  </si>
  <si>
    <t xml:space="preserve">generate() with all strategies</t>
  </si>
  <si>
    <t xml:space="preserve">Yesterday: Loss, perplexity, loop</t>
  </si>
  <si>
    <t xml:space="preserve">KV cache</t>
  </si>
  <si>
    <t xml:space="preserve">Per-layer cache; memory maths</t>
  </si>
  <si>
    <t xml:space="preserve">KIPPLY</t>
  </si>
  <si>
    <t xml:space="preserve">https://kipp.ly/transformer-inference-arithmetic/</t>
  </si>
  <si>
    <t xml:space="preserve">KV cache in generate(); speed + memory table</t>
  </si>
  <si>
    <t xml:space="preserve">Yesterday: Sampling</t>
  </si>
  <si>
    <t xml:space="preserve">Speed-up &gt;=3x</t>
  </si>
  <si>
    <t xml:space="preserve">AMP &amp; resume on 3060</t>
  </si>
  <si>
    <t xml:space="preserve">bf16, tokens/s</t>
  </si>
  <si>
    <t xml:space="preserve">RASCHKA 5.4; PT-AMP</t>
  </si>
  <si>
    <t xml:space="preserve">AMP run; resume test</t>
  </si>
  <si>
    <t xml:space="preserve">Yesterday: KV cache</t>
  </si>
  <si>
    <t xml:space="preserve">FLOPs &amp; memory accounting</t>
  </si>
  <si>
    <t xml:space="preserve">6ND; activation memory</t>
  </si>
  <si>
    <t xml:space="preserve">CS336 lecture 1-2</t>
  </si>
  <si>
    <t xml:space="preserve">Calculator; predict vs measured</t>
  </si>
  <si>
    <t xml:space="preserve">Yesterday: AMP &amp; resume on 3060</t>
  </si>
  <si>
    <t xml:space="preserve">Scaling laws &amp; data</t>
  </si>
  <si>
    <t xml:space="preserve">Chinchilla; dedup; filtering</t>
  </si>
  <si>
    <t xml:space="preserve">CS336 lectures 9-11; CHINCHILLA figs</t>
  </si>
  <si>
    <t xml:space="preserve">CHINCHILLA</t>
  </si>
  <si>
    <t xml:space="preserve">https://arxiv.org/abs/2203.15556</t>
  </si>
  <si>
    <t xml:space="preserve">MinHash dedup; tiny scaling test</t>
  </si>
  <si>
    <t xml:space="preserve">Yesterday: FLOPs &amp; memory accounting</t>
  </si>
  <si>
    <t xml:space="preserve">WEEKLY CHECKPOINT 22: Pretraining &amp; inference</t>
  </si>
  <si>
    <t xml:space="preserve">Self-test 10 concept Qs + interview Qs: Temperature vs top-p; KV cache memory formula; Why dedup (score bands: &lt;40 weak, 40-60 needs work, 60-75 acceptable, 75-90 strong, 90+ excellent; &lt;75% =&gt; revise before next week) (60 min); redo hardest implementation from blank file (30 min)</t>
  </si>
  <si>
    <t xml:space="preserve">GPU-aware training</t>
  </si>
  <si>
    <t xml:space="preserve">Mixed precision; gradient checkpointing</t>
  </si>
  <si>
    <t xml:space="preserve">CS336 lecture 4</t>
  </si>
  <si>
    <t xml:space="preserve">Checkpointing; batch limits table</t>
  </si>
  <si>
    <t xml:space="preserve">Yesterday: Scaling laws &amp; data</t>
  </si>
  <si>
    <t xml:space="preserve">FlashAttention</t>
  </si>
  <si>
    <t xml:space="preserve">Tiling, online softmax</t>
  </si>
  <si>
    <t xml:space="preserve">FLASH sec 3; CS336 5-6</t>
  </si>
  <si>
    <t xml:space="preserve">FLASH</t>
  </si>
  <si>
    <t xml:space="preserve">https://arxiv.org/abs/2205.14135</t>
  </si>
  <si>
    <t xml:space="preserve">Educational online-softmax attention vs SDPA</t>
  </si>
  <si>
    <t xml:space="preserve">Yesterday: GPU-aware training</t>
  </si>
  <si>
    <t xml:space="preserve">Parallelism concepts</t>
  </si>
  <si>
    <t xml:space="preserve">Data/tensor/pipeline; ZeRO/FSDP</t>
  </si>
  <si>
    <t xml:space="preserve">CS336 lectures 7-8</t>
  </si>
  <si>
    <t xml:space="preserve">Memory calc per strategy; diagram</t>
  </si>
  <si>
    <t xml:space="preserve">Yesterday: FlashAttention</t>
  </si>
  <si>
    <t xml:space="preserve">Notes</t>
  </si>
  <si>
    <t xml:space="preserve">LM evaluation</t>
  </si>
  <si>
    <t xml:space="preserve">Perplexity vs benchmarks; contamination</t>
  </si>
  <si>
    <t xml:space="preserve">CS336 lecture 12; LMEVAL</t>
  </si>
  <si>
    <t xml:space="preserve">LMEVAL</t>
  </si>
  <si>
    <t xml:space="preserve">https://github.com/EleutherAI/lm-evaluation-harness</t>
  </si>
  <si>
    <t xml:space="preserve">Run lm-eval on small model</t>
  </si>
  <si>
    <t xml:space="preserve">Yesterday: Parallelism concepts</t>
  </si>
  <si>
    <t xml:space="preserve">Script</t>
  </si>
  <si>
    <t xml:space="preserve">Post-training: SFT/RLHF/DPO</t>
  </si>
  <si>
    <t xml:space="preserve">Reward models; DPO loss</t>
  </si>
  <si>
    <t xml:space="preserve">INSTRUCTGPT sec 3; DPO sec 4</t>
  </si>
  <si>
    <t xml:space="preserve">DPO</t>
  </si>
  <si>
    <t xml:space="preserve">https://arxiv.org/abs/2305.18290</t>
  </si>
  <si>
    <t xml:space="preserve">Implement DPO loss; derive from Bradley-Terry</t>
  </si>
  <si>
    <t xml:space="preserve">Yesterday: LM evaluation</t>
  </si>
  <si>
    <t xml:space="preserve">`dpo_loss.py`</t>
  </si>
  <si>
    <t xml:space="preserve">Inference overview</t>
  </si>
  <si>
    <t xml:space="preserve">Continuous batching, PagedAttention, speculative (preview)</t>
  </si>
  <si>
    <t xml:space="preserve">CS336 inference lecture</t>
  </si>
  <si>
    <t xml:space="preserve">Notes + Phase 10 plan</t>
  </si>
  <si>
    <t xml:space="preserve">Yesterday: Post-training: SFT/RLHF/DPO</t>
  </si>
  <si>
    <t xml:space="preserve">Notes + Anki</t>
  </si>
  <si>
    <t xml:space="preserve">WEEKLY CHECKPOINT 23: LLM systems</t>
  </si>
  <si>
    <t xml:space="preserve">Self-test 10 concept Qs + interview Qs: What FlashAttention avoids; ZeRO stages; DPO objective (score bands: &lt;40 weak, 40-60 needs work, 60-75 acceptable, 75-90 strong, 90+ excellent; &lt;75% =&gt; revise before next week) (60 min); redo hardest implementation from blank file (30 min)</t>
  </si>
  <si>
    <t xml:space="preserve">Why LLMs fail</t>
  </si>
  <si>
    <t xml:space="preserve">Hallucination, position bias, sycophancy</t>
  </si>
  <si>
    <t xml:space="preserve">LOSTMID; HUYEN ch 2 (failures)</t>
  </si>
  <si>
    <t xml:space="preserve">LOSTMID</t>
  </si>
  <si>
    <t xml:space="preserve">https://arxiv.org/abs/2307.03172</t>
  </si>
  <si>
    <t xml:space="preserve">Reproduce lost-in-the-middle on small model</t>
  </si>
  <si>
    <t xml:space="preserve">Yesterday: Inference overview</t>
  </si>
  <si>
    <t xml:space="preserve">`failures.md`</t>
  </si>
  <si>
    <t xml:space="preserve">Context windows</t>
  </si>
  <si>
    <t xml:space="preserve">Attention cost; RoPE scaling</t>
  </si>
  <si>
    <t xml:space="preserve">OWN + RoPE-scaling blog posts</t>
  </si>
  <si>
    <t xml:space="preserve">Quality vs context length</t>
  </si>
  <si>
    <t xml:space="preserve">Yesterday: Why LLMs fail</t>
  </si>
  <si>
    <t xml:space="preserve">Experiment</t>
  </si>
  <si>
    <t xml:space="preserve">Prompt design</t>
  </si>
  <si>
    <t xml:space="preserve">System prompts, few-shot, CoT, versioning</t>
  </si>
  <si>
    <t xml:space="preserve">ANTH-PROMPT; HUYEN ch 5</t>
  </si>
  <si>
    <t xml:space="preserve">ANTH-PROMPT</t>
  </si>
  <si>
    <t xml:space="preserve">https://docs.claude.com/en/docs/build-with-claude/prompt-engineering/overview</t>
  </si>
  <si>
    <t xml:space="preserve">Prompt library with tests</t>
  </si>
  <si>
    <t xml:space="preserve">Yesterday: Context windows</t>
  </si>
  <si>
    <t xml:space="preserve">Structured outputs</t>
  </si>
  <si>
    <t xml:space="preserve">JSON schema, Pydantic, constrained decoding, repair</t>
  </si>
  <si>
    <t xml:space="preserve">PYDANTIC; OUTLINES README</t>
  </si>
  <si>
    <t xml:space="preserve">OUTLINES</t>
  </si>
  <si>
    <t xml:space="preserve">https://github.com/dottxt-ai/outlines</t>
  </si>
  <si>
    <t xml:space="preserve">Structured-output layer with validation+retry</t>
  </si>
  <si>
    <t xml:space="preserve">Yesterday: Prompt design</t>
  </si>
  <si>
    <t xml:space="preserve">Function/tool calling</t>
  </si>
  <si>
    <t xml:space="preserve">Schemas, validation, parallel calls</t>
  </si>
  <si>
    <t xml:space="preserve">TOOLUSE</t>
  </si>
  <si>
    <t xml:space="preserve">https://docs.claude.com/en/docs/agents-and-tools/tool-use/overview</t>
  </si>
  <si>
    <t xml:space="preserve">Tool-calling wrapper; 3 tools</t>
  </si>
  <si>
    <t xml:space="preserve">Yesterday: Structured outputs</t>
  </si>
  <si>
    <t xml:space="preserve">LLM eval basics</t>
  </si>
  <si>
    <t xml:space="preserve">Exact/functional/similarity; LLM-as-judge</t>
  </si>
  <si>
    <t xml:space="preserve">HUYEN ch 3-4</t>
  </si>
  <si>
    <t xml:space="preserve">HUYEN</t>
  </si>
  <si>
    <t xml:space="preserve">https://www.oreilly.com/library/view/ai-engineering/9781098166298/</t>
  </si>
  <si>
    <t xml:space="preserve">Judge script; 30-sample calibration</t>
  </si>
  <si>
    <t xml:space="preserve">Yesterday: Function/tool calling</t>
  </si>
  <si>
    <t xml:space="preserve">Agreement rate + Anki</t>
  </si>
  <si>
    <t xml:space="preserve">WEEKLY CHECKPOINT 24: LLM behaviour &amp; structured output</t>
  </si>
  <si>
    <t xml:space="preserve">Self-test 10 concept Qs + interview Qs: Why hallucination; Position bias evidence; Constrained decoding vs retry (score bands: &lt;40 weak, 40-60 needs work, 60-75 acceptable, 75-90 strong, 90+ excellent; &lt;75% =&gt; revise before next week) (60 min); redo hardest implementation from blank file (30 min)</t>
  </si>
  <si>
    <t xml:space="preserve">P3 corpus</t>
  </si>
  <si>
    <t xml:space="preserve">SEBI/RBI or NVD; dedup</t>
  </si>
  <si>
    <t xml:space="preserve">Pipeline</t>
  </si>
  <si>
    <t xml:space="preserve">Yesterday: LLM eval basics</t>
  </si>
  <si>
    <t xml:space="preserve">P3 tokenizer</t>
  </si>
  <si>
    <t xml:space="preserve">Domain BPE; token stats</t>
  </si>
  <si>
    <t xml:space="preserve">Tokenizer</t>
  </si>
  <si>
    <t xml:space="preserve">Yesterday: P3 corpus</t>
  </si>
  <si>
    <t xml:space="preserve">Stats</t>
  </si>
  <si>
    <t xml:space="preserve">P3 config &amp; cost plan</t>
  </si>
  <si>
    <t xml:space="preserve">3 sizes; FLOPs; Colab vs 3060</t>
  </si>
  <si>
    <t xml:space="preserve">Calculator + plan</t>
  </si>
  <si>
    <t xml:space="preserve">Yesterday: P3 tokenizer</t>
  </si>
  <si>
    <t xml:space="preserve">Plan.md</t>
  </si>
  <si>
    <t xml:space="preserve">P3 train small</t>
  </si>
  <si>
    <t xml:space="preserve">Local run with AMP</t>
  </si>
  <si>
    <t xml:space="preserve">Train</t>
  </si>
  <si>
    <t xml:space="preserve">Yesterday: P3 config &amp; cost plan</t>
  </si>
  <si>
    <t xml:space="preserve">P3 train larger (Colab)</t>
  </si>
  <si>
    <t xml:space="preserve">Resume, logging</t>
  </si>
  <si>
    <t xml:space="preserve">Launch</t>
  </si>
  <si>
    <t xml:space="preserve">Yesterday: P3 train small</t>
  </si>
  <si>
    <t xml:space="preserve">P3 KV-cache serving</t>
  </si>
  <si>
    <t xml:space="preserve">Simple API; tokens/s</t>
  </si>
  <si>
    <t xml:space="preserve">`serve.py`</t>
  </si>
  <si>
    <t xml:space="preserve">Yesterday: P3 train larger (Colab)</t>
  </si>
  <si>
    <t xml:space="preserve">Speed table</t>
  </si>
  <si>
    <t xml:space="preserve">WEEKLY CHECKPOINT 25: PROJECT 3: MiniGPT-Domain (week 1)</t>
  </si>
  <si>
    <t xml:space="preserve">Self-test 10 concept Qs + interview Qs: Why loss spiked; FLOPs of your run; Tokenizer effect (score bands: &lt;40 weak, 40-60 needs work, 60-75 acceptable, 75-90 strong, 90+ excellent; &lt;75% =&gt; revise before next week) (60 min); redo hardest implementation from blank file (30 min)</t>
  </si>
  <si>
    <t xml:space="preserve">P3 evaluation</t>
  </si>
  <si>
    <t xml:space="preserve">Perplexity; samples</t>
  </si>
  <si>
    <t xml:space="preserve">Eval</t>
  </si>
  <si>
    <t xml:space="preserve">Yesterday: P3 KV-cache serving</t>
  </si>
  <si>
    <t xml:space="preserve">P3 ablation</t>
  </si>
  <si>
    <t xml:space="preserve">3 sizes; RoPE vs learned</t>
  </si>
  <si>
    <t xml:space="preserve">Ablation charts</t>
  </si>
  <si>
    <t xml:space="preserve">Yesterday: P3 evaluation</t>
  </si>
  <si>
    <t xml:space="preserve">Charts</t>
  </si>
  <si>
    <t xml:space="preserve">P3 HF export</t>
  </si>
  <si>
    <t xml:space="preserve">HF-compatible model</t>
  </si>
  <si>
    <t xml:space="preserve">Refer Hugging Face LLM course as needed</t>
  </si>
  <si>
    <t xml:space="preserve">Export; load with transformers</t>
  </si>
  <si>
    <t xml:space="preserve">Yesterday: P3 ablation</t>
  </si>
  <si>
    <t xml:space="preserve">P3 README</t>
  </si>
  <si>
    <t xml:space="preserve">Docs + numbers</t>
  </si>
  <si>
    <t xml:space="preserve">Yesterday: P3 HF export</t>
  </si>
  <si>
    <t xml:space="preserve">P3 reproduce</t>
  </si>
  <si>
    <t xml:space="preserve">Reproduce</t>
  </si>
  <si>
    <t xml:space="preserve">Yesterday: P3 README</t>
  </si>
  <si>
    <t xml:space="preserve">P3 defence + blog</t>
  </si>
  <si>
    <t xml:space="preserve">9 questions; write-up</t>
  </si>
  <si>
    <t xml:space="preserve">Answers + post</t>
  </si>
  <si>
    <t xml:space="preserve">Yesterday: P3 reproduce</t>
  </si>
  <si>
    <t xml:space="preserve">CP3 self-grade</t>
  </si>
  <si>
    <t xml:space="preserve">WEEKLY CHECKPOINT 26: PROJECT 3 (week 2)</t>
  </si>
  <si>
    <t xml:space="preserve">Self-test 10 concept Qs + interview Qs: What changes at 1B params; Pre-LN reasoning; Your scaling result (score bands: &lt;40 weak, 40-60 needs work, 60-75 acceptable, 75-90 strong, 90+ excellent; &lt;75% =&gt; revise before next week) (60 min); redo hardest implementation from blank file (30 min)</t>
  </si>
  <si>
    <t xml:space="preserve">Embedding models</t>
  </si>
  <si>
    <t xml:space="preserve">Contrastive training; pooling; MTEB</t>
  </si>
  <si>
    <t xml:space="preserve">SBERT docs</t>
  </si>
  <si>
    <t xml:space="preserve">SBERT</t>
  </si>
  <si>
    <t xml:space="preserve">https://www.sbert.net/</t>
  </si>
  <si>
    <t xml:space="preserve">Compare 2 models on your corpus; tiny contrastive train</t>
  </si>
  <si>
    <t xml:space="preserve">Yesterday: P3 defence + blog</t>
  </si>
  <si>
    <t xml:space="preserve">Similarity &amp; brute force</t>
  </si>
  <si>
    <t xml:space="preserve">Cosine/dot/L2; batched search</t>
  </si>
  <si>
    <t xml:space="preserve">Brute-force GPU store</t>
  </si>
  <si>
    <t xml:space="preserve">Yesterday: Embedding models</t>
  </si>
  <si>
    <t xml:space="preserve">HNSW (your engine)</t>
  </si>
  <si>
    <t xml:space="preserve">Layers, ef/M, heuristic</t>
  </si>
  <si>
    <t xml:space="preserve">HNSW sec 1-4</t>
  </si>
  <si>
    <t xml:space="preserve">HNSW</t>
  </si>
  <si>
    <t xml:space="preserve">https://arxiv.org/abs/1603.09320</t>
  </si>
  <si>
    <t xml:space="preserve">Verify/finish HNSW; sweep</t>
  </si>
  <si>
    <t xml:space="preserve">Yesterday: Similarity &amp; brute force</t>
  </si>
  <si>
    <t xml:space="preserve">Recall/QPS chart</t>
  </si>
  <si>
    <t xml:space="preserve">IVF/PQ &amp; FAISS</t>
  </si>
  <si>
    <t xml:space="preserve">Inverted files; product quantisation</t>
  </si>
  <si>
    <t xml:space="preserve">FAISS wiki index guidelines</t>
  </si>
  <si>
    <t xml:space="preserve">FAISS</t>
  </si>
  <si>
    <t xml:space="preserve">https://github.com/facebookresearch/faiss/wiki</t>
  </si>
  <si>
    <t xml:space="preserve">IVF-PQ vs HNSW vs brute</t>
  </si>
  <si>
    <t xml:space="preserve">Yesterday: HNSW (your engine)</t>
  </si>
  <si>
    <t xml:space="preserve">pgvector</t>
  </si>
  <si>
    <t xml:space="preserve">HNSW in Postgres; filtering; hybrid with tsvector</t>
  </si>
  <si>
    <t xml:space="preserve">PGVECTOR README</t>
  </si>
  <si>
    <t xml:space="preserve">PGVECTOR</t>
  </si>
  <si>
    <t xml:space="preserve">https://github.com/pgvector/pgvector</t>
  </si>
  <si>
    <t xml:space="preserve">Postgres store with metadata filters</t>
  </si>
  <si>
    <t xml:space="preserve">Yesterday: IVF/PQ &amp; FAISS</t>
  </si>
  <si>
    <t xml:space="preserve">Late interaction (concept)</t>
  </si>
  <si>
    <t xml:space="preserve">ColBERT, learned sparse</t>
  </si>
  <si>
    <t xml:space="preserve">SPLADE (ColBERT) sec 3 skim</t>
  </si>
  <si>
    <t xml:space="preserve">SPLADE</t>
  </si>
  <si>
    <t xml:space="preserve">https://arxiv.org/abs/2004.12832</t>
  </si>
  <si>
    <t xml:space="preserve">Notes + small demo</t>
  </si>
  <si>
    <t xml:space="preserve">Yesterday: pgvector</t>
  </si>
  <si>
    <t xml:space="preserve">WEEKLY CHECKPOINT 27: Embeddings &amp; vector search</t>
  </si>
  <si>
    <t xml:space="preserve">Self-test 10 concept Qs + interview Qs: HNSW vs IVF-PQ; Why normalise; When pgvector is enough (score bands: &lt;40 weak, 40-60 needs work, 60-75 acceptable, 75-90 strong, 90+ excellent; &lt;75% =&gt; revise before next week) (60 min); redo hardest implementation from blank file (30 min)</t>
  </si>
  <si>
    <t xml:space="preserve">Ingestion</t>
  </si>
  <si>
    <t xml:space="preserve">PDF/tables; metadata</t>
  </si>
  <si>
    <t xml:space="preserve">OWN (pypdf docs)</t>
  </si>
  <si>
    <t xml:space="preserve">Ingestion for SEBI/RBI docs</t>
  </si>
  <si>
    <t xml:space="preserve">Yesterday: Late interaction (concept)</t>
  </si>
  <si>
    <t xml:space="preserve">Chunking</t>
  </si>
  <si>
    <t xml:space="preserve">Fixed/recursive/semantic/structure</t>
  </si>
  <si>
    <t xml:space="preserve">CONTEXTUAL (chunking part)</t>
  </si>
  <si>
    <t xml:space="preserve">CONTEXTUAL</t>
  </si>
  <si>
    <t xml:space="preserve">https://www.anthropic.com/news/contextual-retrieval</t>
  </si>
  <si>
    <t xml:space="preserve">3 chunkers</t>
  </si>
  <si>
    <t xml:space="preserve">Yesterday: Ingestion</t>
  </si>
  <si>
    <t xml:space="preserve">BM25 from scratch</t>
  </si>
  <si>
    <t xml:space="preserve">TF-IDF, BM25, k1/b</t>
  </si>
  <si>
    <t xml:space="preserve">BM25 sec 1-3</t>
  </si>
  <si>
    <t xml:space="preserve">BM25</t>
  </si>
  <si>
    <t xml:space="preserve">https://www.staff.city.ac.uk/~sbrp622/papers/foundations_bm25_review.pdf</t>
  </si>
  <si>
    <t xml:space="preserve">BM25 index; compare rank_bm25</t>
  </si>
  <si>
    <t xml:space="preserve">Yesterday: Chunking</t>
  </si>
  <si>
    <t xml:space="preserve">Hybrid &amp; RRF</t>
  </si>
  <si>
    <t xml:space="preserve">Fusion; metadata filters</t>
  </si>
  <si>
    <t xml:space="preserve">Hybrid retrieval</t>
  </si>
  <si>
    <t xml:space="preserve">Yesterday: BM25 from scratch</t>
  </si>
  <si>
    <t xml:space="preserve">Reranking</t>
  </si>
  <si>
    <t xml:space="preserve">Cross-encoders; latency</t>
  </si>
  <si>
    <t xml:space="preserve">LIN ch 3</t>
  </si>
  <si>
    <t xml:space="preserve">LIN</t>
  </si>
  <si>
    <t xml:space="preserve">https://arxiv.org/abs/2010.06467</t>
  </si>
  <si>
    <t xml:space="preserve">Cross-encoder reranker; latency table</t>
  </si>
  <si>
    <t xml:space="preserve">Yesterday: Hybrid &amp; RRF</t>
  </si>
  <si>
    <t xml:space="preserve">Context construction</t>
  </si>
  <si>
    <t xml:space="preserve">Budget, ordering, citations</t>
  </si>
  <si>
    <t xml:space="preserve">Generator with citations; RAG v1</t>
  </si>
  <si>
    <t xml:space="preserve">Yesterday: Reranking</t>
  </si>
  <si>
    <t xml:space="preserve">RAG v1 + Anki</t>
  </si>
  <si>
    <t xml:space="preserve">WEEKLY CHECKPOINT 28: RAG Level 1-2</t>
  </si>
  <si>
    <t xml:space="preserve">Self-test 10 concept Qs + interview Qs: BM25 vs TF-IDF; Why RRF; When reranking hurts (score bands: &lt;40 weak, 40-60 needs work, 60-75 acceptable, 75-90 strong, 90+ excellent; &lt;75% =&gt; revise before next week) (60 min); redo hardest implementation from blank file (30 min)</t>
  </si>
  <si>
    <t xml:space="preserve">Query rewriting &amp; multi-query</t>
  </si>
  <si>
    <t xml:space="preserve">Rewrite, decompose</t>
  </si>
  <si>
    <t xml:space="preserve">Rewriter + multi-query</t>
  </si>
  <si>
    <t xml:space="preserve">Yesterday: Context construction</t>
  </si>
  <si>
    <t xml:space="preserve">HyDE</t>
  </si>
  <si>
    <t xml:space="preserve">Hypothetical docs</t>
  </si>
  <si>
    <t xml:space="preserve">HYDE sec 2-3</t>
  </si>
  <si>
    <t xml:space="preserve">HYDE</t>
  </si>
  <si>
    <t xml:space="preserve">https://arxiv.org/abs/2212.10496</t>
  </si>
  <si>
    <t xml:space="preserve">HyDE; measure</t>
  </si>
  <si>
    <t xml:space="preserve">Yesterday: Query rewriting &amp; multi-query</t>
  </si>
  <si>
    <t xml:space="preserve">Contextual retrieval</t>
  </si>
  <si>
    <t xml:space="preserve">Chunk augmentation; contextual BM25</t>
  </si>
  <si>
    <t xml:space="preserve">Contextual augmentation with local model</t>
  </si>
  <si>
    <t xml:space="preserve">Yesterday: HyDE</t>
  </si>
  <si>
    <t xml:space="preserve">Parent-child / hierarchical</t>
  </si>
  <si>
    <t xml:space="preserve">Small-to-big</t>
  </si>
  <si>
    <t xml:space="preserve">Parent-child retrieval</t>
  </si>
  <si>
    <t xml:space="preserve">Yesterday: Contextual retrieval</t>
  </si>
  <si>
    <t xml:space="preserve">Routing</t>
  </si>
  <si>
    <t xml:space="preserve">Query router</t>
  </si>
  <si>
    <t xml:space="preserve">Router (regulation/FAQ/table)</t>
  </si>
  <si>
    <t xml:space="preserve">Yesterday: Parent-child / hierarchical</t>
  </si>
  <si>
    <t xml:space="preserve">Iterative retrieval (critically)</t>
  </si>
  <si>
    <t xml:space="preserve">When it pays</t>
  </si>
  <si>
    <t xml:space="preserve">Iterative loop with budget; compare</t>
  </si>
  <si>
    <t xml:space="preserve">Yesterday: Routing</t>
  </si>
  <si>
    <t xml:space="preserve">RAG v2 + Anki</t>
  </si>
  <si>
    <t xml:space="preserve">WEEKLY CHECKPOINT 29: RAG Level 3</t>
  </si>
  <si>
    <t xml:space="preserve">Self-test 10 concept Qs + interview Qs: Contextual retrieval mechanism; Parent-child trade-offs; When iteration is worth it (score bands: &lt;40 weak, 40-60 needs work, 60-75 acceptable, 75-90 strong, 90+ excellent; &lt;75% =&gt; revise before next week) (60 min); redo hardest implementation from blank file (30 min)</t>
  </si>
  <si>
    <t xml:space="preserve">Golden set</t>
  </si>
  <si>
    <t xml:space="preserve">Question types; hard negatives</t>
  </si>
  <si>
    <t xml:space="preserve">RAGAS getting started</t>
  </si>
  <si>
    <t xml:space="preserve">RAGAS</t>
  </si>
  <si>
    <t xml:space="preserve">https://docs.ragas.io/</t>
  </si>
  <si>
    <t xml:space="preserve">100 Q/A with sources</t>
  </si>
  <si>
    <t xml:space="preserve">Yesterday: Iterative retrieval (critically)</t>
  </si>
  <si>
    <t xml:space="preserve">`golden.jsonl`</t>
  </si>
  <si>
    <t xml:space="preserve">Retrieval eval</t>
  </si>
  <si>
    <t xml:space="preserve">recall@k, MRR, nDCG</t>
  </si>
  <si>
    <t xml:space="preserve">Harness</t>
  </si>
  <si>
    <t xml:space="preserve">Yesterday: Golden set</t>
  </si>
  <si>
    <t xml:space="preserve">Generation &amp; hallucination eval</t>
  </si>
  <si>
    <t xml:space="preserve">Faithfulness, relevance; judge calibration</t>
  </si>
  <si>
    <t xml:space="preserve">RAGAS metrics; HUYEN ch 3-4</t>
  </si>
  <si>
    <t xml:space="preserve">Gen eval; judge vs human 50</t>
  </si>
  <si>
    <t xml:space="preserve">Yesterday: Retrieval eval</t>
  </si>
  <si>
    <t xml:space="preserve">Ablations</t>
  </si>
  <si>
    <t xml:space="preserve">Chunk x top-k x rerank x hybrid</t>
  </si>
  <si>
    <t xml:space="preserve">Grid</t>
  </si>
  <si>
    <t xml:space="preserve">Yesterday: Generation &amp; hallucination eval</t>
  </si>
  <si>
    <t xml:space="preserve">Latency &amp; cost</t>
  </si>
  <si>
    <t xml:space="preserve">p95 budget; async; token accounting</t>
  </si>
  <si>
    <t xml:space="preserve">Profile; cost model</t>
  </si>
  <si>
    <t xml:space="preserve">Yesterday: Ablations</t>
  </si>
  <si>
    <t xml:space="preserve">`cost.py`</t>
  </si>
  <si>
    <t xml:space="preserve">Caching</t>
  </si>
  <si>
    <t xml:space="preserve">Exact + semantic; hit rate</t>
  </si>
  <si>
    <t xml:space="preserve">Redis cache</t>
  </si>
  <si>
    <t xml:space="preserve">Yesterday: Latency &amp; cost</t>
  </si>
  <si>
    <t xml:space="preserve">WEEKLY CHECKPOINT 30: RAG Level 4: evaluation, cost, cache</t>
  </si>
  <si>
    <t xml:space="preserve">Self-test 10 concept Qs + interview Qs: Faithfulness vs relevance; Judge validation; Semantic cache failures (score bands: &lt;40 weak, 40-60 needs work, 60-75 acceptable, 75-90 strong, 90+ excellent; &lt;75% =&gt; revise before next week) (60 min); redo hardest implementation from blank file (30 min)</t>
  </si>
  <si>
    <t xml:space="preserve">P4 assemble</t>
  </si>
  <si>
    <t xml:space="preserve">Ingest-&gt;chunk-&gt;hybrid-&gt;rerank-&gt;generate</t>
  </si>
  <si>
    <t xml:space="preserve">Integrate</t>
  </si>
  <si>
    <t xml:space="preserve">Yesterday: Caching</t>
  </si>
  <si>
    <t xml:space="preserve">P4 eval</t>
  </si>
  <si>
    <t xml:space="preserve">Golden set run</t>
  </si>
  <si>
    <t xml:space="preserve">Yesterday: P4 assemble</t>
  </si>
  <si>
    <t xml:space="preserve">P4 failure taxonomy</t>
  </si>
  <si>
    <t xml:space="preserve">20 worst answers</t>
  </si>
  <si>
    <t xml:space="preserve">Taxonomy; fix top class</t>
  </si>
  <si>
    <t xml:space="preserve">Yesterday: P4 eval</t>
  </si>
  <si>
    <t xml:space="preserve">P4 L3 upgrades</t>
  </si>
  <si>
    <t xml:space="preserve">Contextual + router</t>
  </si>
  <si>
    <t xml:space="preserve">Add; re-eval</t>
  </si>
  <si>
    <t xml:space="preserve">Yesterday: P4 failure taxonomy</t>
  </si>
  <si>
    <t xml:space="preserve">P4 API</t>
  </si>
  <si>
    <t xml:space="preserve">FastAPI + streaming</t>
  </si>
  <si>
    <t xml:space="preserve">Yesterday: P4 L3 upgrades</t>
  </si>
  <si>
    <t xml:space="preserve">P4 cache + cost</t>
  </si>
  <si>
    <t xml:space="preserve">Redis; cost logging</t>
  </si>
  <si>
    <t xml:space="preserve">Cache + dashboard</t>
  </si>
  <si>
    <t xml:space="preserve">Yesterday: P4 API</t>
  </si>
  <si>
    <t xml:space="preserve">WEEKLY CHECKPOINT 31: PROJECT 4: RegRAG (week 1)</t>
  </si>
  <si>
    <t xml:space="preserve">Self-test 10 concept Qs + interview Qs: Chunk-size trade-offs; What the judge got wrong; Router errors (score bands: &lt;40 weak, 40-60 needs work, 60-75 acceptable, 75-90 strong, 90+ excellent; &lt;75% =&gt; revise before next week) (60 min); redo hardest implementation from blank file (30 min)</t>
  </si>
  <si>
    <t xml:space="preserve">P4 hardening</t>
  </si>
  <si>
    <t xml:space="preserve">Timeouts, retries, errors, tests</t>
  </si>
  <si>
    <t xml:space="preserve">FASTAPI (async/errors)</t>
  </si>
  <si>
    <t xml:space="preserve">Tests</t>
  </si>
  <si>
    <t xml:space="preserve">Yesterday: P4 cache + cost</t>
  </si>
  <si>
    <t xml:space="preserve">CI green</t>
  </si>
  <si>
    <t xml:space="preserve">P4 load test</t>
  </si>
  <si>
    <t xml:space="preserve">p95 under load</t>
  </si>
  <si>
    <t xml:space="preserve">LOCUST</t>
  </si>
  <si>
    <t xml:space="preserve">https://docs.locust.io/</t>
  </si>
  <si>
    <t xml:space="preserve">Load test</t>
  </si>
  <si>
    <t xml:space="preserve">Yesterday: P4 hardening</t>
  </si>
  <si>
    <t xml:space="preserve">P4 README</t>
  </si>
  <si>
    <t xml:space="preserve">Docs</t>
  </si>
  <si>
    <t xml:space="preserve">Yesterday: P4 load test</t>
  </si>
  <si>
    <t xml:space="preserve">P4 reproduce</t>
  </si>
  <si>
    <t xml:space="preserve">Yesterday: P4 README</t>
  </si>
  <si>
    <t xml:space="preserve">P4 system design</t>
  </si>
  <si>
    <t xml:space="preserve">RAG for 10M docs</t>
  </si>
  <si>
    <t xml:space="preserve">HUYEN ch 6</t>
  </si>
  <si>
    <t xml:space="preserve">Whiteboard + write-up</t>
  </si>
  <si>
    <t xml:space="preserve">Yesterday: P4 reproduce</t>
  </si>
  <si>
    <t xml:space="preserve">Design doc</t>
  </si>
  <si>
    <t xml:space="preserve">P4 defence</t>
  </si>
  <si>
    <t xml:space="preserve">Answers + video</t>
  </si>
  <si>
    <t xml:space="preserve">Yesterday: P4 system design</t>
  </si>
  <si>
    <t xml:space="preserve">CP4 self-grade</t>
  </si>
  <si>
    <t xml:space="preserve">WEEKLY CHECKPOINT 32: PROJECT 4 (week 2)</t>
  </si>
  <si>
    <t xml:space="preserve">Self-test 10 concept Qs + interview Qs: Design RAG at 10M docs; Cost per query levers; V2 plan (score bands: &lt;40 weak, 40-60 needs work, 60-75 acceptable, 75-90 strong, 90+ excellent; &lt;75% =&gt; revise before next week) (60 min); redo hardest implementation from blank file (30 min)</t>
  </si>
  <si>
    <t xml:space="preserve">Transfer learning &amp; full FT</t>
  </si>
  <si>
    <t xml:space="preserve">Freezing; per-layer LR; forgetting</t>
  </si>
  <si>
    <t xml:space="preserve">HF-LLM ch 3</t>
  </si>
  <si>
    <t xml:space="preserve">Full FT small model on classification</t>
  </si>
  <si>
    <t xml:space="preserve">Yesterday: P4 defence</t>
  </si>
  <si>
    <t xml:space="preserve">LoRA math</t>
  </si>
  <si>
    <t xml:space="preserve">Low-rank update; rank/alpha; targets</t>
  </si>
  <si>
    <t xml:space="preserve">LORA sec 4</t>
  </si>
  <si>
    <t xml:space="preserve">LORA</t>
  </si>
  <si>
    <t xml:space="preserve">https://arxiv.org/abs/2106.09685</t>
  </si>
  <si>
    <t xml:space="preserve">LoRA layer from scratch; verify vs PEFT</t>
  </si>
  <si>
    <t xml:space="preserve">Yesterday: Transfer learning &amp; full FT</t>
  </si>
  <si>
    <t xml:space="preserve">Quantisation basics</t>
  </si>
  <si>
    <t xml:space="preserve">INT8/INT4, NF4, dequant</t>
  </si>
  <si>
    <t xml:space="preserve">QLORA sec 3</t>
  </si>
  <si>
    <t xml:space="preserve">QLORA</t>
  </si>
  <si>
    <t xml:space="preserve">https://arxiv.org/abs/2305.14314</t>
  </si>
  <si>
    <t xml:space="preserve">Quantise weights from scratch (INT8, NF4 sim)</t>
  </si>
  <si>
    <t xml:space="preserve">Yesterday: LoRA math</t>
  </si>
  <si>
    <t xml:space="preserve">QLoRA in practice</t>
  </si>
  <si>
    <t xml:space="preserve">4-bit base; paged optimisers; 6 GB</t>
  </si>
  <si>
    <t xml:space="preserve">UNSLOTH guide</t>
  </si>
  <si>
    <t xml:space="preserve">UNSLOTH</t>
  </si>
  <si>
    <t xml:space="preserve">https://docs.unsloth.ai/</t>
  </si>
  <si>
    <t xml:space="preserve">QLoRA 1-3B on 3060</t>
  </si>
  <si>
    <t xml:space="preserve">Yesterday: Quantisation basics</t>
  </si>
  <si>
    <t xml:space="preserve">Run + eval</t>
  </si>
  <si>
    <t xml:space="preserve">PEFT landscape</t>
  </si>
  <si>
    <t xml:space="preserve">Adapters, prompt tuning, DoRA</t>
  </si>
  <si>
    <t xml:space="preserve">PEFT conceptual guides</t>
  </si>
  <si>
    <t xml:space="preserve">PEFT</t>
  </si>
  <si>
    <t xml:space="preserve">https://huggingface.co/docs/peft</t>
  </si>
  <si>
    <t xml:space="preserve">Quick LoRA vs DoRA</t>
  </si>
  <si>
    <t xml:space="preserve">Yesterday: QLoRA in practice</t>
  </si>
  <si>
    <t xml:space="preserve">Fine-tune evaluation</t>
  </si>
  <si>
    <t xml:space="preserve">Held-out eval; judge; regression tests</t>
  </si>
  <si>
    <t xml:space="preserve">Eval harness</t>
  </si>
  <si>
    <t xml:space="preserve">Yesterday: PEFT landscape</t>
  </si>
  <si>
    <t xml:space="preserve">`ft/eval.py` + Anki</t>
  </si>
  <si>
    <t xml:space="preserve">WEEKLY CHECKPOINT 33: PEFT &amp; quantisation</t>
  </si>
  <si>
    <t xml:space="preserve">Self-test 10 concept Qs + interview Qs: LoRA rank intuition; NF4 vs INT4; Why QLoRA fits 6 GB (score bands: &lt;40 weak, 40-60 needs work, 60-75 acceptable, 75-90 strong, 90+ excellent; &lt;75% =&gt; revise before next week) (60 min); redo hardest implementation from blank file (30 min)</t>
  </si>
  <si>
    <t xml:space="preserve">Dataset prep</t>
  </si>
  <si>
    <t xml:space="preserve">Formats; filtering; dedup; synthetic caveats</t>
  </si>
  <si>
    <t xml:space="preserve">HUYEN ch 8 (data) skim</t>
  </si>
  <si>
    <t xml:space="preserve">500-example domain instruction set</t>
  </si>
  <si>
    <t xml:space="preserve">Yesterday: Fine-tune evaluation</t>
  </si>
  <si>
    <t xml:space="preserve">Dataset</t>
  </si>
  <si>
    <t xml:space="preserve">SFT</t>
  </si>
  <si>
    <t xml:space="preserve">Loss masking; packing</t>
  </si>
  <si>
    <t xml:space="preserve">RASCHKA ch 7; TRL SFTTrainer</t>
  </si>
  <si>
    <t xml:space="preserve">TRL</t>
  </si>
  <si>
    <t xml:space="preserve">https://huggingface.co/docs/trl</t>
  </si>
  <si>
    <t xml:space="preserve">SFT with TRL + masking check</t>
  </si>
  <si>
    <t xml:space="preserve">Yesterday: Dataset prep</t>
  </si>
  <si>
    <t xml:space="preserve">Pairs; beta; reference</t>
  </si>
  <si>
    <t xml:space="preserve">DPO paper; TRL DPOTrainer</t>
  </si>
  <si>
    <t xml:space="preserve">DPO on 200 pairs</t>
  </si>
  <si>
    <t xml:space="preserve">Yesterday: SFT</t>
  </si>
  <si>
    <t xml:space="preserve">Catastrophic forgetting</t>
  </si>
  <si>
    <t xml:space="preserve">Measure; replay; LoRA mitigation</t>
  </si>
  <si>
    <t xml:space="preserve">Measure on general eval; mitigate</t>
  </si>
  <si>
    <t xml:space="preserve">Yesterday: DPO</t>
  </si>
  <si>
    <t xml:space="preserve">RAG vs fine-tuning</t>
  </si>
  <si>
    <t xml:space="preserve">Knowledge vs behaviour; freshness; cost</t>
  </si>
  <si>
    <t xml:space="preserve">HUYEN ch 7</t>
  </si>
  <si>
    <t xml:space="preserve">Decision matrix; 5 cases</t>
  </si>
  <si>
    <t xml:space="preserve">Yesterday: Catastrophic forgetting</t>
  </si>
  <si>
    <t xml:space="preserve">`decision.md`</t>
  </si>
  <si>
    <t xml:space="preserve">Report + model card</t>
  </si>
  <si>
    <t xml:space="preserve">Yesterday: RAG vs fine-tuning</t>
  </si>
  <si>
    <t xml:space="preserve">WEEKLY CHECKPOINT 34: Instruction tuning, DPO, RAG-vs-FT</t>
  </si>
  <si>
    <t xml:space="preserve">Self-test 10 concept Qs + interview Qs: RAG vs FT for 3 cases; DPO beta; Forgetting measurement (score bands: &lt;40 weak, 40-60 needs work, 60-75 acceptable, 75-90 strong, 90+ excellent; &lt;75% =&gt; revise before next week) (60 min); redo hardest implementation from blank file (30 min)</t>
  </si>
  <si>
    <t xml:space="preserve">Whisper architecture</t>
  </si>
  <si>
    <t xml:space="preserve">Encoder-decoder; mel; multitask tokens</t>
  </si>
  <si>
    <t xml:space="preserve">WHISPER sec 2-3</t>
  </si>
  <si>
    <t xml:space="preserve">WHISPER</t>
  </si>
  <si>
    <t xml:space="preserve">https://arxiv.org/abs/2212.04356</t>
  </si>
  <si>
    <t xml:space="preserve">Trace model; run inference</t>
  </si>
  <si>
    <t xml:space="preserve">Yesterday: Report + model card</t>
  </si>
  <si>
    <t xml:space="preserve">Code-mixed data</t>
  </si>
  <si>
    <t xml:space="preserve">Normalisation; transliteration</t>
  </si>
  <si>
    <t xml:space="preserve">HF-AUDIO units 1-2</t>
  </si>
  <si>
    <t xml:space="preserve">HF-AUDIO</t>
  </si>
  <si>
    <t xml:space="preserve">https://huggingface.co/learn/audio-course</t>
  </si>
  <si>
    <t xml:space="preserve">Dataset prep + normaliser</t>
  </si>
  <si>
    <t xml:space="preserve">Yesterday: Whisper architecture</t>
  </si>
  <si>
    <t xml:space="preserve">WER by language mix</t>
  </si>
  <si>
    <t xml:space="preserve">jiwer; slices</t>
  </si>
  <si>
    <t xml:space="preserve">HF-AUDIO unit 5; JIWER</t>
  </si>
  <si>
    <t xml:space="preserve">Yesterday: Code-mixed data</t>
  </si>
  <si>
    <t xml:space="preserve">Baseline WER</t>
  </si>
  <si>
    <t xml:space="preserve">Fine-tune Whisper (LoRA)</t>
  </si>
  <si>
    <t xml:space="preserve">Seq2seq trainer</t>
  </si>
  <si>
    <t xml:space="preserve">HF-WHISPER</t>
  </si>
  <si>
    <t xml:space="preserve">https://huggingface.co/blog/fine-tune-whisper</t>
  </si>
  <si>
    <t xml:space="preserve">Fine-tune small/base</t>
  </si>
  <si>
    <t xml:space="preserve">Yesterday: WER by language mix</t>
  </si>
  <si>
    <t xml:space="preserve">WER table</t>
  </si>
  <si>
    <t xml:space="preserve">Decoding &amp; errors</t>
  </si>
  <si>
    <t xml:space="preserve">Beam; temperature fallback; taxonomy</t>
  </si>
  <si>
    <t xml:space="preserve">Sweep + taxonomy</t>
  </si>
  <si>
    <t xml:space="preserve">Yesterday: Fine-tune Whisper (LoRA)</t>
  </si>
  <si>
    <t xml:space="preserve">faster-whisper</t>
  </si>
  <si>
    <t xml:space="preserve">CTranslate2 INT8; chunked</t>
  </si>
  <si>
    <t xml:space="preserve">FWHISPER</t>
  </si>
  <si>
    <t xml:space="preserve">https://github.com/SYSTRAN/faster-whisper</t>
  </si>
  <si>
    <t xml:space="preserve">Convert + benchmark</t>
  </si>
  <si>
    <t xml:space="preserve">Yesterday: Decoding &amp; errors</t>
  </si>
  <si>
    <t xml:space="preserve">WEEKLY CHECKPOINT 35: Whisper fine-tune on Tanglish</t>
  </si>
  <si>
    <t xml:space="preserve">Self-test 10 concept Qs + interview Qs: WER pitfalls in code-mixing; Multitask tokens; INT8 effect on WER (score bands: &lt;40 weak, 40-60 needs work, 60-75 acceptable, 75-90 strong, 90+ excellent; &lt;75% =&gt; revise before next week) (60 min); redo hardest implementation from blank file (30 min)</t>
  </si>
  <si>
    <t xml:space="preserve">Agent loop</t>
  </si>
  <si>
    <t xml:space="preserve">model-&gt;tool-&gt;observe; stop conditions</t>
  </si>
  <si>
    <t xml:space="preserve">ANTH-AGENTS</t>
  </si>
  <si>
    <t xml:space="preserve">https://www.anthropic.com/research/building-effective-agents</t>
  </si>
  <si>
    <t xml:space="preserve">Plain loop with 3 tools</t>
  </si>
  <si>
    <t xml:space="preserve">Yesterday: faster-whisper</t>
  </si>
  <si>
    <t xml:space="preserve">Tool design</t>
  </si>
  <si>
    <t xml:space="preserve">Schemas, idempotency, timeouts, least privilege</t>
  </si>
  <si>
    <t xml:space="preserve">Tool registry with validation</t>
  </si>
  <si>
    <t xml:space="preserve">Yesterday: Agent loop</t>
  </si>
  <si>
    <t xml:space="preserve">Typed state</t>
  </si>
  <si>
    <t xml:space="preserve">Pydantic state; repair</t>
  </si>
  <si>
    <t xml:space="preserve">PYDANTIC</t>
  </si>
  <si>
    <t xml:space="preserve">https://docs.pydantic.dev/</t>
  </si>
  <si>
    <t xml:space="preserve">Typed agent state</t>
  </si>
  <si>
    <t xml:space="preserve">Yesterday: Tool design</t>
  </si>
  <si>
    <t xml:space="preserve">Budgets &amp; tracing</t>
  </si>
  <si>
    <t xml:space="preserve">Cost/step budgets; traces</t>
  </si>
  <si>
    <t xml:space="preserve">Budgets + trace viewer</t>
  </si>
  <si>
    <t xml:space="preserve">Yesterday: Typed state</t>
  </si>
  <si>
    <t xml:space="preserve">Agent evaluation</t>
  </si>
  <si>
    <t xml:space="preserve">Task suites; success rate</t>
  </si>
  <si>
    <t xml:space="preserve">50 scripted tasks; harness</t>
  </si>
  <si>
    <t xml:space="preserve">Yesterday: Budgets &amp; tracing</t>
  </si>
  <si>
    <t xml:space="preserve">Baseline</t>
  </si>
  <si>
    <t xml:space="preserve">Workflow patterns</t>
  </si>
  <si>
    <t xml:space="preserve">Chaining, routing, parallel, orchestrator, evaluator</t>
  </si>
  <si>
    <t xml:space="preserve">Implement all five</t>
  </si>
  <si>
    <t xml:space="preserve">Yesterday: Agent evaluation</t>
  </si>
  <si>
    <t xml:space="preserve">WEEKLY CHECKPOINT 36: Agents I: loop &amp; tools</t>
  </si>
  <si>
    <t xml:space="preserve">Self-test 10 concept Qs + interview Qs: Idempotent tools; What to trace; Chaining vs routing (score bands: &lt;40 weak, 40-60 needs work, 60-75 acceptable, 75-90 strong, 90+ excellent; &lt;75% =&gt; revise before next week) (60 min); redo hardest implementation from blank file (30 min)</t>
  </si>
  <si>
    <t xml:space="preserve">State machines</t>
  </si>
  <si>
    <t xml:space="preserve">Deterministic workflows</t>
  </si>
  <si>
    <t xml:space="preserve">Workflow engine</t>
  </si>
  <si>
    <t xml:space="preserve">Yesterday: Workflow patterns</t>
  </si>
  <si>
    <t xml:space="preserve">Memory</t>
  </si>
  <si>
    <t xml:space="preserve">Short/episodic/semantic; your engine</t>
  </si>
  <si>
    <t xml:space="preserve">MEMGPT sec 2</t>
  </si>
  <si>
    <t xml:space="preserve">MEMGPT</t>
  </si>
  <si>
    <t xml:space="preserve">https://arxiv.org/abs/2310.08560</t>
  </si>
  <si>
    <t xml:space="preserve">Retrieval-backed memory</t>
  </si>
  <si>
    <t xml:space="preserve">Yesterday: State machines</t>
  </si>
  <si>
    <t xml:space="preserve">Planning &amp; reflection</t>
  </si>
  <si>
    <t xml:space="preserve">ReAct; Reflexion; cost</t>
  </si>
  <si>
    <t xml:space="preserve">REACT; REFLEXION</t>
  </si>
  <si>
    <t xml:space="preserve">REACT</t>
  </si>
  <si>
    <t xml:space="preserve">https://arxiv.org/abs/2210.03629</t>
  </si>
  <si>
    <t xml:space="preserve">Compare loop vs plan vs reflect</t>
  </si>
  <si>
    <t xml:space="preserve">Yesterday: Memory</t>
  </si>
  <si>
    <t xml:space="preserve">Is an agent necessary?</t>
  </si>
  <si>
    <t xml:space="preserve">Criteria; ADRs</t>
  </si>
  <si>
    <t xml:space="preserve">ANTH-AGENTS (when to use)</t>
  </si>
  <si>
    <t xml:space="preserve">5 cases; ADRs</t>
  </si>
  <si>
    <t xml:space="preserve">Yesterday: Planning &amp; reflection</t>
  </si>
  <si>
    <t xml:space="preserve">`docs/adr/`</t>
  </si>
  <si>
    <t xml:space="preserve">HITL &amp; reliability</t>
  </si>
  <si>
    <t xml:space="preserve">Approvals; retries; fallbacks</t>
  </si>
  <si>
    <t xml:space="preserve">HITL step; chaos tests</t>
  </si>
  <si>
    <t xml:space="preserve">Yesterday: Is an agent necessary?</t>
  </si>
  <si>
    <t xml:space="preserve">Multi-agent (critically)</t>
  </si>
  <si>
    <t xml:space="preserve">Supervisor; coordination cost</t>
  </si>
  <si>
    <t xml:space="preserve">ANTH-AGENTS orchestrator section</t>
  </si>
  <si>
    <t xml:space="preserve">Supervisor vs single loop</t>
  </si>
  <si>
    <t xml:space="preserve">Yesterday: HITL &amp; reliability</t>
  </si>
  <si>
    <t xml:space="preserve">Table + ADR + Anki</t>
  </si>
  <si>
    <t xml:space="preserve">WEEKLY CHECKPOINT 37: Agents II: workflows vs agents</t>
  </si>
  <si>
    <t xml:space="preserve">Self-test 10 concept Qs + interview Qs: Workflow vs agent decision; Reflexion cost/benefit; Safe-to-retry tools (score bands: &lt;40 weak, 40-60 needs work, 60-75 acceptable, 75-90 strong, 90+ excellent; &lt;75% =&gt; revise before next week) (60 min); redo hardest implementation from blank file (30 min)</t>
  </si>
  <si>
    <t xml:space="preserve">LangGraph</t>
  </si>
  <si>
    <t xml:space="preserve">Graph state; edges; checkpointers</t>
  </si>
  <si>
    <t xml:space="preserve">LANGGRAPH concepts</t>
  </si>
  <si>
    <t xml:space="preserve">LANGGRAPH</t>
  </si>
  <si>
    <t xml:space="preserve">https://langchain-ai.github.io/langgraph/</t>
  </si>
  <si>
    <t xml:space="preserve">Rebuild workflow; compare LOC/latency</t>
  </si>
  <si>
    <t xml:space="preserve">Yesterday: Multi-agent (critically)</t>
  </si>
  <si>
    <t xml:space="preserve">Note</t>
  </si>
  <si>
    <t xml:space="preserve">MCP</t>
  </si>
  <si>
    <t xml:space="preserve">Servers; tools; transport</t>
  </si>
  <si>
    <t xml:space="preserve">MCP quickstart</t>
  </si>
  <si>
    <t xml:space="preserve">https://modelcontextprotocol.io/</t>
  </si>
  <si>
    <t xml:space="preserve">MCP server for RegRAG + memory</t>
  </si>
  <si>
    <t xml:space="preserve">Yesterday: LangGraph</t>
  </si>
  <si>
    <t xml:space="preserve">Prompt injection</t>
  </si>
  <si>
    <t xml:space="preserve">Direct/indirect; tool exfil</t>
  </si>
  <si>
    <t xml:space="preserve">OWASP; GRESHAKE</t>
  </si>
  <si>
    <t xml:space="preserve">OWASP</t>
  </si>
  <si>
    <t xml:space="preserve">https://genai.owasp.org/llm-top-10/</t>
  </si>
  <si>
    <t xml:space="preserve">20 attacks; success rate</t>
  </si>
  <si>
    <t xml:space="preserve">Yesterday: MCP</t>
  </si>
  <si>
    <t xml:space="preserve">Defences</t>
  </si>
  <si>
    <t xml:space="preserve">Guards; allow-lists; sandboxing; OS-level monitoring</t>
  </si>
  <si>
    <t xml:space="preserve">Mitigations; re-test</t>
  </si>
  <si>
    <t xml:space="preserve">Yesterday: Prompt injection</t>
  </si>
  <si>
    <t xml:space="preserve">Before/after</t>
  </si>
  <si>
    <t xml:space="preserve">Garak</t>
  </si>
  <si>
    <t xml:space="preserve">Automated probes</t>
  </si>
  <si>
    <t xml:space="preserve">GARAK README</t>
  </si>
  <si>
    <t xml:space="preserve">GARAK</t>
  </si>
  <si>
    <t xml:space="preserve">https://github.com/NVIDIA/garak</t>
  </si>
  <si>
    <t xml:space="preserve">Run vs local model + agent</t>
  </si>
  <si>
    <t xml:space="preserve">Yesterday: Defences</t>
  </si>
  <si>
    <t xml:space="preserve">Security write-up</t>
  </si>
  <si>
    <t xml:space="preserve">Threat model (STRIDE)</t>
  </si>
  <si>
    <t xml:space="preserve">Threat model</t>
  </si>
  <si>
    <t xml:space="preserve">Yesterday: Garak</t>
  </si>
  <si>
    <t xml:space="preserve">WEEKLY CHECKPOINT 38: Agents III: framework week + security</t>
  </si>
  <si>
    <t xml:space="preserve">Self-test 10 concept Qs + interview Qs: Multi-agent failure modes; Indirect injection example; Sandboxing tools (score bands: &lt;40 weak, 40-60 needs work, 60-75 acceptable, 75-90 strong, 90+ excellent; &lt;75% =&gt; revise before next week) (60 min); redo hardest implementation from blank file (30 min)</t>
  </si>
  <si>
    <t xml:space="preserve">P5 task &amp; dialogue</t>
  </si>
  <si>
    <t xml:space="preserve">States, tools, latency budget</t>
  </si>
  <si>
    <t xml:space="preserve">State diagram</t>
  </si>
  <si>
    <t xml:space="preserve">Yesterday: Security write-up</t>
  </si>
  <si>
    <t xml:space="preserve">P5 workflow</t>
  </si>
  <si>
    <t xml:space="preserve">Deterministic workflow + stubs</t>
  </si>
  <si>
    <t xml:space="preserve">Implement</t>
  </si>
  <si>
    <t xml:space="preserve">Yesterday: P5 task &amp; dialogue</t>
  </si>
  <si>
    <t xml:space="preserve">P5 intent extraction</t>
  </si>
  <si>
    <t xml:space="preserve">Code-mixed text -&gt; typed intent</t>
  </si>
  <si>
    <t xml:space="preserve">Structured-output intent; eval</t>
  </si>
  <si>
    <t xml:space="preserve">Yesterday: P5 workflow</t>
  </si>
  <si>
    <t xml:space="preserve">Accuracy</t>
  </si>
  <si>
    <t xml:space="preserve">P5 agent fallback</t>
  </si>
  <si>
    <t xml:space="preserve">Loop with budget + ADR</t>
  </si>
  <si>
    <t xml:space="preserve">Fallback</t>
  </si>
  <si>
    <t xml:space="preserve">Yesterday: P5 intent extraction</t>
  </si>
  <si>
    <t xml:space="preserve">ADR</t>
  </si>
  <si>
    <t xml:space="preserve">P5 STT integration</t>
  </si>
  <si>
    <t xml:space="preserve">faster-whisper -&gt; workflow</t>
  </si>
  <si>
    <t xml:space="preserve">Yesterday: P5 agent fallback</t>
  </si>
  <si>
    <t xml:space="preserve">P5 TTS integration</t>
  </si>
  <si>
    <t xml:space="preserve">TTS engine; latency</t>
  </si>
  <si>
    <t xml:space="preserve">VITS skim + engine docs</t>
  </si>
  <si>
    <t xml:space="preserve">VITS</t>
  </si>
  <si>
    <t xml:space="preserve">https://arxiv.org/abs/2106.06103</t>
  </si>
  <si>
    <t xml:space="preserve">Yesterday: P5 STT integration</t>
  </si>
  <si>
    <t xml:space="preserve">WEEKLY CHECKPOINT 39: PROJECT 5: TanglishVoice (week 1)</t>
  </si>
  <si>
    <t xml:space="preserve">Self-test 10 concept Qs + interview Qs: Why workflow not agent; Intent error propagation; Latency budget (score bands: &lt;40 weak, 40-60 needs work, 60-75 acceptable, 75-90 strong, 90+ excellent; &lt;75% =&gt; revise before next week) (60 min); redo hardest implementation from blank file (30 min)</t>
  </si>
  <si>
    <t xml:space="preserve">P5 end-to-end latency</t>
  </si>
  <si>
    <t xml:space="preserve">Per-stage p95</t>
  </si>
  <si>
    <t xml:space="preserve">Profile; optimise</t>
  </si>
  <si>
    <t xml:space="preserve">Yesterday: P5 TTS integration</t>
  </si>
  <si>
    <t xml:space="preserve">P5 evaluation</t>
  </si>
  <si>
    <t xml:space="preserve">50 dialogues; task success</t>
  </si>
  <si>
    <t xml:space="preserve">Yesterday: P5 end-to-end latency</t>
  </si>
  <si>
    <t xml:space="preserve">P5 red-team</t>
  </si>
  <si>
    <t xml:space="preserve">Injections via voice/text</t>
  </si>
  <si>
    <t xml:space="preserve">Attack; mitigate</t>
  </si>
  <si>
    <t xml:space="preserve">Yesterday: P5 evaluation</t>
  </si>
  <si>
    <t xml:space="preserve">P5 README</t>
  </si>
  <si>
    <t xml:space="preserve">Yesterday: P5 red-team</t>
  </si>
  <si>
    <t xml:space="preserve">P5 reproduce</t>
  </si>
  <si>
    <t xml:space="preserve">Yesterday: P5 README</t>
  </si>
  <si>
    <t xml:space="preserve">P5 defence + demo</t>
  </si>
  <si>
    <t xml:space="preserve">9 questions; video</t>
  </si>
  <si>
    <t xml:space="preserve">Yesterday: P5 reproduce</t>
  </si>
  <si>
    <t xml:space="preserve">CP5 self-grade</t>
  </si>
  <si>
    <t xml:space="preserve">WEEKLY CHECKPOINT 40: PROJECT 5 (week 2)</t>
  </si>
  <si>
    <t xml:space="preserve">Self-test 10 concept Qs + interview Qs: Where voice latency goes; Code-switch handling; V2 plan (score bands: &lt;40 weak, 40-60 needs work, 60-75 acceptable, 75-90 strong, 90+ excellent; &lt;75% =&gt; revise before next week) (60 min); redo hardest implementation from blank file (30 min)</t>
  </si>
  <si>
    <t xml:space="preserve">Audio features</t>
  </si>
  <si>
    <t xml:space="preserve">STFT, mel, MFCC</t>
  </si>
  <si>
    <t xml:space="preserve">HF-AUDIO unit 1</t>
  </si>
  <si>
    <t xml:space="preserve">Mel extractor from scratch</t>
  </si>
  <si>
    <t xml:space="preserve">Yesterday: P5 defence + demo</t>
  </si>
  <si>
    <t xml:space="preserve">CTC</t>
  </si>
  <si>
    <t xml:space="preserve">Alignment-free loss; decoding</t>
  </si>
  <si>
    <t xml:space="preserve">CTC (Distill)</t>
  </si>
  <si>
    <t xml:space="preserve">https://distill.pub/2017/ctc/</t>
  </si>
  <si>
    <t xml:space="preserve">CTC forward (NumPy); greedy + beam decode</t>
  </si>
  <si>
    <t xml:space="preserve">Yesterday: Audio features</t>
  </si>
  <si>
    <t xml:space="preserve">Self-supervised speech</t>
  </si>
  <si>
    <t xml:space="preserve">wav2vec 2.0; Conformer</t>
  </si>
  <si>
    <t xml:space="preserve">WAV2VEC sec 2-3; CONFORMER sec 2</t>
  </si>
  <si>
    <t xml:space="preserve">WAV2VEC</t>
  </si>
  <si>
    <t xml:space="preserve">https://arxiv.org/abs/2006.11477</t>
  </si>
  <si>
    <t xml:space="preserve">Fine-tune wav2vec2 head on Tamil subset</t>
  </si>
  <si>
    <t xml:space="preserve">Yesterday: CTC</t>
  </si>
  <si>
    <t xml:space="preserve">WER</t>
  </si>
  <si>
    <t xml:space="preserve">Streaming ASR</t>
  </si>
  <si>
    <t xml:space="preserve">VAD; endpointing; chunking</t>
  </si>
  <si>
    <t xml:space="preserve">SILERO; FWHISPER</t>
  </si>
  <si>
    <t xml:space="preserve">SILERO</t>
  </si>
  <si>
    <t xml:space="preserve">https://github.com/snakers4/silero-vad</t>
  </si>
  <si>
    <t xml:space="preserve">Streaming STT service</t>
  </si>
  <si>
    <t xml:space="preserve">Yesterday: Self-supervised speech</t>
  </si>
  <si>
    <t xml:space="preserve">Audio embeddings &amp; CLIP</t>
  </si>
  <si>
    <t xml:space="preserve">CLAP/wav2vec embeddings; CLIP loss</t>
  </si>
  <si>
    <t xml:space="preserve">CLIP sec 2-3</t>
  </si>
  <si>
    <t xml:space="preserve">CLIP</t>
  </si>
  <si>
    <t xml:space="preserve">https://arxiv.org/abs/2103.00020</t>
  </si>
  <si>
    <t xml:space="preserve">Audio similarity with your HNSW; CLIP zero-shot</t>
  </si>
  <si>
    <t xml:space="preserve">Yesterday: Streaming ASR</t>
  </si>
  <si>
    <t xml:space="preserve">Vision-language models</t>
  </si>
  <si>
    <t xml:space="preserve">Projector; usage; limits</t>
  </si>
  <si>
    <t xml:space="preserve">LLAVA sec 3</t>
  </si>
  <si>
    <t xml:space="preserve">LLAVA</t>
  </si>
  <si>
    <t xml:space="preserve">https://arxiv.org/abs/2304.08485</t>
  </si>
  <si>
    <t xml:space="preserve">VLM over machine photos</t>
  </si>
  <si>
    <t xml:space="preserve">Yesterday: Audio embeddings &amp; CLIP</t>
  </si>
  <si>
    <t xml:space="preserve">WEEKLY CHECKPOINT 41: ASR internals + TTS + VLM</t>
  </si>
  <si>
    <t xml:space="preserve">Self-test 10 concept Qs + interview Qs: CTC blank; Streaming latency parts; CLIP loss (score bands: &lt;40 weak, 40-60 needs work, 60-75 acceptable, 75-90 strong, 90+ excellent; &lt;75% =&gt; revise before next week) (60 min); redo hardest implementation from blank file (30 min)</t>
  </si>
  <si>
    <t xml:space="preserve">ONNX deep dive</t>
  </si>
  <si>
    <t xml:space="preserve">Graph, opsets, EPs</t>
  </si>
  <si>
    <t xml:space="preserve">ONNX docs</t>
  </si>
  <si>
    <t xml:space="preserve">Export Whisper-tiny + CNN; parity</t>
  </si>
  <si>
    <t xml:space="preserve">Yesterday: Vision-language models</t>
  </si>
  <si>
    <t xml:space="preserve">PTQ vs QAT</t>
  </si>
  <si>
    <t xml:space="preserve">Per-channel; calibration</t>
  </si>
  <si>
    <t xml:space="preserve">LITERT quantization; ONNX quantization</t>
  </si>
  <si>
    <t xml:space="preserve">LITERT</t>
  </si>
  <si>
    <t xml:space="preserve">https://ai.google.dev/edge/litert/models/model_optimization</t>
  </si>
  <si>
    <t xml:space="preserve">QAT on CNN vs PTQ</t>
  </si>
  <si>
    <t xml:space="preserve">Yesterday: ONNX deep dive</t>
  </si>
  <si>
    <t xml:space="preserve">LiteRT on RPi</t>
  </si>
  <si>
    <t xml:space="preserve">Delegates; threads</t>
  </si>
  <si>
    <t xml:space="preserve">Run; thread sweep</t>
  </si>
  <si>
    <t xml:space="preserve">Yesterday: PTQ vs QAT</t>
  </si>
  <si>
    <t xml:space="preserve">Benchmark</t>
  </si>
  <si>
    <t xml:space="preserve">Edge STT</t>
  </si>
  <si>
    <t xml:space="preserve">INT8 faster-whisper on CPU/RPi</t>
  </si>
  <si>
    <t xml:space="preserve">WER vs latency</t>
  </si>
  <si>
    <t xml:space="preserve">Yesterday: LiteRT on RPi</t>
  </si>
  <si>
    <t xml:space="preserve">Multimodal RAG (light)</t>
  </si>
  <si>
    <t xml:space="preserve">Image/PDF retrieval; ColPali idea</t>
  </si>
  <si>
    <t xml:space="preserve">COLPALI sec 3 skim</t>
  </si>
  <si>
    <t xml:space="preserve">COLPALI</t>
  </si>
  <si>
    <t xml:space="preserve">https://arxiv.org/abs/2407.01449</t>
  </si>
  <si>
    <t xml:space="preserve">Retrieval over manuals</t>
  </si>
  <si>
    <t xml:space="preserve">Yesterday: Edge STT</t>
  </si>
  <si>
    <t xml:space="preserve">Edge reliability + report</t>
  </si>
  <si>
    <t xml:space="preserve">Watchdog, OTA, offline; accuracy/latency/size/power</t>
  </si>
  <si>
    <t xml:space="preserve">Scripts + report</t>
  </si>
  <si>
    <t xml:space="preserve">Yesterday: Multimodal RAG (light)</t>
  </si>
  <si>
    <t xml:space="preserve">Report + Anki</t>
  </si>
  <si>
    <t xml:space="preserve">WEEKLY CHECKPOINT 42: Edge AI</t>
  </si>
  <si>
    <t xml:space="preserve">Self-test 10 concept Qs + interview Qs: PTQ vs QAT; Why per-channel; Edge failure modes (score bands: &lt;40 weak, 40-60 needs work, 60-75 acceptable, 75-90 strong, 90+ excellent; &lt;75% =&gt; revise before next week) (60 min); redo hardest implementation from blank file (30 min)</t>
  </si>
  <si>
    <t xml:space="preserve">MLflow tracking</t>
  </si>
  <si>
    <t xml:space="preserve">Runs, params, artifacts</t>
  </si>
  <si>
    <t xml:space="preserve">MLFLOW tracking</t>
  </si>
  <si>
    <t xml:space="preserve">MLFLOW</t>
  </si>
  <si>
    <t xml:space="preserve">https://mlflow.org/docs/latest/</t>
  </si>
  <si>
    <t xml:space="preserve">Track Projects 1-2</t>
  </si>
  <si>
    <t xml:space="preserve">Yesterday: Edge reliability + report</t>
  </si>
  <si>
    <t xml:space="preserve">DVC</t>
  </si>
  <si>
    <t xml:space="preserve">Data versioning; pipelines</t>
  </si>
  <si>
    <t xml:space="preserve">DVC get started</t>
  </si>
  <si>
    <t xml:space="preserve">https://dvc.org/doc</t>
  </si>
  <si>
    <t xml:space="preserve">DVC for Project 1</t>
  </si>
  <si>
    <t xml:space="preserve">Yesterday: MLflow tracking</t>
  </si>
  <si>
    <t xml:space="preserve">dvc.yaml</t>
  </si>
  <si>
    <t xml:space="preserve">Model registry</t>
  </si>
  <si>
    <t xml:space="preserve">Stages; lineage; cards</t>
  </si>
  <si>
    <t xml:space="preserve">MLFLOW registry</t>
  </si>
  <si>
    <t xml:space="preserve">Register + promote</t>
  </si>
  <si>
    <t xml:space="preserve">Yesterday: DVC</t>
  </si>
  <si>
    <t xml:space="preserve">Testing ML</t>
  </si>
  <si>
    <t xml:space="preserve">Code/data/model tests; gates</t>
  </si>
  <si>
    <t xml:space="preserve">MWML testing; MLTEST</t>
  </si>
  <si>
    <t xml:space="preserve">MLTEST</t>
  </si>
  <si>
    <t xml:space="preserve">https://research.google/pubs/the-ml-test-score-a-rubric-for-ml-production-readiness-and-technical-debt-reduction/</t>
  </si>
  <si>
    <t xml:space="preserve">Tests for P1 + P4</t>
  </si>
  <si>
    <t xml:space="preserve">Yesterday: Model registry</t>
  </si>
  <si>
    <t xml:space="preserve">CI/CD</t>
  </si>
  <si>
    <t xml:space="preserve">Actions: lint/test/build/push</t>
  </si>
  <si>
    <t xml:space="preserve">GHA quickstart</t>
  </si>
  <si>
    <t xml:space="preserve">GHA</t>
  </si>
  <si>
    <t xml:space="preserve">https://docs.github.com/actions</t>
  </si>
  <si>
    <t xml:space="preserve">Pipeline for one repo</t>
  </si>
  <si>
    <t xml:space="preserve">Yesterday: Testing ML</t>
  </si>
  <si>
    <t xml:space="preserve">Lifecycle diagram</t>
  </si>
  <si>
    <t xml:space="preserve">Data-&gt;train-&gt;validate-&gt;registry-&gt;deploy-&gt;monitor-&gt;retrain</t>
  </si>
  <si>
    <t xml:space="preserve">DMLS ch 5-6</t>
  </si>
  <si>
    <t xml:space="preserve">DMLS</t>
  </si>
  <si>
    <t xml:space="preserve">https://www.oreilly.com/library/view/designing-machine-learning/9781098107956/</t>
  </si>
  <si>
    <t xml:space="preserve">Diagram + gaps</t>
  </si>
  <si>
    <t xml:space="preserve">Yesterday: CI/CD</t>
  </si>
  <si>
    <t xml:space="preserve">WEEKLY CHECKPOINT 43: MLOps I: tracking, versioning, testing</t>
  </si>
  <si>
    <t xml:space="preserve">Self-test 10 concept Qs + interview Qs: Registry guarantees; Point-in-time correctness; DVC vs Git LFS (score bands: &lt;40 weak, 40-60 needs work, 60-75 acceptable, 75-90 strong, 90+ excellent; &lt;75% =&gt; revise before next week) (60 min); redo hardest implementation from blank file (30 min)</t>
  </si>
  <si>
    <t xml:space="preserve">Serving patterns</t>
  </si>
  <si>
    <t xml:space="preserve">Batching, streaming, versioned endpoints</t>
  </si>
  <si>
    <t xml:space="preserve">MWML serving; FASTAPI</t>
  </si>
  <si>
    <t xml:space="preserve">MWML</t>
  </si>
  <si>
    <t xml:space="preserve">https://madewithml.com/</t>
  </si>
  <si>
    <t xml:space="preserve">Serve P1 + P4 with versions</t>
  </si>
  <si>
    <t xml:space="preserve">Yesterday: Lifecycle diagram</t>
  </si>
  <si>
    <t xml:space="preserve">Docker best practices</t>
  </si>
  <si>
    <t xml:space="preserve">Multi-stage; size; healthchecks</t>
  </si>
  <si>
    <t xml:space="preserve">DOCKER</t>
  </si>
  <si>
    <t xml:space="preserve">https://docs.docker.com/build/building/best-practices/</t>
  </si>
  <si>
    <t xml:space="preserve">Slim images</t>
  </si>
  <si>
    <t xml:space="preserve">Yesterday: Serving patterns</t>
  </si>
  <si>
    <t xml:space="preserve">Sizes</t>
  </si>
  <si>
    <t xml:space="preserve">Observability</t>
  </si>
  <si>
    <t xml:space="preserve">Logs, metrics, traces</t>
  </si>
  <si>
    <t xml:space="preserve">OTEL getting started</t>
  </si>
  <si>
    <t xml:space="preserve">OTEL</t>
  </si>
  <si>
    <t xml:space="preserve">https://opentelemetry.io/docs/languages/python/</t>
  </si>
  <si>
    <t xml:space="preserve">Instrument API</t>
  </si>
  <si>
    <t xml:space="preserve">Yesterday: Docker best practices</t>
  </si>
  <si>
    <t xml:space="preserve">Dashboards &amp; SLOs</t>
  </si>
  <si>
    <t xml:space="preserve">SLO definitions</t>
  </si>
  <si>
    <t xml:space="preserve">DMLS ch 8</t>
  </si>
  <si>
    <t xml:space="preserve">Dashboard + SLOs</t>
  </si>
  <si>
    <t xml:space="preserve">Yesterday: Observability</t>
  </si>
  <si>
    <t xml:space="preserve">Screenshot</t>
  </si>
  <si>
    <t xml:space="preserve">Drift</t>
  </si>
  <si>
    <t xml:space="preserve">PSI/KS; unlabelled monitoring</t>
  </si>
  <si>
    <t xml:space="preserve">EVIDENTLY; DMLS ch 8</t>
  </si>
  <si>
    <t xml:space="preserve">Drift job + alert</t>
  </si>
  <si>
    <t xml:space="preserve">Yesterday: Dashboards &amp; SLOs</t>
  </si>
  <si>
    <t xml:space="preserve">Alert fires</t>
  </si>
  <si>
    <t xml:space="preserve">Retraining loop + incident drill</t>
  </si>
  <si>
    <t xml:space="preserve">Triggers; gates; rollback; postmortem</t>
  </si>
  <si>
    <t xml:space="preserve">DMLS ch 9</t>
  </si>
  <si>
    <t xml:space="preserve">Trigger + gate; drill</t>
  </si>
  <si>
    <t xml:space="preserve">Yesterday: Drift</t>
  </si>
  <si>
    <t xml:space="preserve">Postmortem.md + Anki</t>
  </si>
  <si>
    <t xml:space="preserve">WEEKLY CHECKPOINT 44: MLOps II: serving, monitoring, drift</t>
  </si>
  <si>
    <t xml:space="preserve">Self-test 10 concept Qs + interview Qs: Monitoring without labels; SLO vs SLA; Rollback strategy (score bands: &lt;40 weak, 40-60 needs work, 60-75 acceptable, 75-90 strong, 90+ excellent; &lt;75% =&gt; revise before next week) (60 min); redo hardest implementation from blank file (30 min)</t>
  </si>
  <si>
    <t xml:space="preserve">Azure fundamentals</t>
  </si>
  <si>
    <t xml:space="preserve">RGs, IAM/RBAC, cost</t>
  </si>
  <si>
    <t xml:space="preserve">AZ (cloud concepts + core services)</t>
  </si>
  <si>
    <t xml:space="preserve">AZ</t>
  </si>
  <si>
    <t xml:space="preserve">https://learn.microsoft.com/training/paths/microsoft-azure-fundamentals-describe-cloud-concepts/</t>
  </si>
  <si>
    <t xml:space="preserve">RG; RBAC; budget alert</t>
  </si>
  <si>
    <t xml:space="preserve">Yesterday: Retraining loop + incident drill</t>
  </si>
  <si>
    <t xml:space="preserve">Container Apps</t>
  </si>
  <si>
    <t xml:space="preserve">ACR; deploy container</t>
  </si>
  <si>
    <t xml:space="preserve">AZ-ACA</t>
  </si>
  <si>
    <t xml:space="preserve">https://learn.microsoft.com/azure/container-apps/quickstart-portal</t>
  </si>
  <si>
    <t xml:space="preserve">Deploy RegRAG API</t>
  </si>
  <si>
    <t xml:space="preserve">Yesterday: Azure fundamentals</t>
  </si>
  <si>
    <t xml:space="preserve">URL live</t>
  </si>
  <si>
    <t xml:space="preserve">Postgres + pgvector + Redis</t>
  </si>
  <si>
    <t xml:space="preserve">Managed services</t>
  </si>
  <si>
    <t xml:space="preserve">AZ-PG</t>
  </si>
  <si>
    <t xml:space="preserve">https://learn.microsoft.com/azure/postgresql/flexible-server/how-to-use-pgvector</t>
  </si>
  <si>
    <t xml:space="preserve">Wire managed Postgres + Redis</t>
  </si>
  <si>
    <t xml:space="preserve">Yesterday: Container Apps</t>
  </si>
  <si>
    <t xml:space="preserve">Secrets &amp; identity</t>
  </si>
  <si>
    <t xml:space="preserve">Key Vault; managed identity</t>
  </si>
  <si>
    <t xml:space="preserve">MS Learn Key Vault quickstart</t>
  </si>
  <si>
    <t xml:space="preserve">Secrets via Key Vault</t>
  </si>
  <si>
    <t xml:space="preserve">Yesterday: Postgres + pgvector + Redis</t>
  </si>
  <si>
    <t xml:space="preserve">Azure ML</t>
  </si>
  <si>
    <t xml:space="preserve">Jobs; endpoints</t>
  </si>
  <si>
    <t xml:space="preserve">AZ-ML quickstart</t>
  </si>
  <si>
    <t xml:space="preserve">AZ-ML</t>
  </si>
  <si>
    <t xml:space="preserve">https://learn.microsoft.com/azure/machine-learning/</t>
  </si>
  <si>
    <t xml:space="preserve">One job + endpoint</t>
  </si>
  <si>
    <t xml:space="preserve">Yesterday: Secrets &amp; identity</t>
  </si>
  <si>
    <t xml:space="preserve">Monitoring &amp; cost</t>
  </si>
  <si>
    <t xml:space="preserve">Azure Monitor; cost analysis; Bicep intro</t>
  </si>
  <si>
    <t xml:space="preserve">MS Learn Azure Monitor</t>
  </si>
  <si>
    <t xml:space="preserve">Alerts + cost report</t>
  </si>
  <si>
    <t xml:space="preserve">Yesterday: Azure ML</t>
  </si>
  <si>
    <t xml:space="preserve">WEEKLY CHECKPOINT 45: Azure</t>
  </si>
  <si>
    <t xml:space="preserve">Self-test 10 concept Qs + interview Qs: Managed identity vs keys; Container Apps vs AKS; Cost levers (score bands: &lt;40 weak, 40-60 needs work, 60-75 acceptable, 75-90 strong, 90+ excellent; &lt;75% =&gt; revise before next week) (60 min); redo hardest implementation from blank file (30 min)</t>
  </si>
  <si>
    <t xml:space="preserve">Async services</t>
  </si>
  <si>
    <t xml:space="preserve">Concurrency limits; backpressure</t>
  </si>
  <si>
    <t xml:space="preserve">PYDOCS asyncio</t>
  </si>
  <si>
    <t xml:space="preserve">Async inference service</t>
  </si>
  <si>
    <t xml:space="preserve">Yesterday: Monitoring &amp; cost</t>
  </si>
  <si>
    <t xml:space="preserve">Queues &amp; streams</t>
  </si>
  <si>
    <t xml:space="preserve">Redis streams; Kafka concepts</t>
  </si>
  <si>
    <t xml:space="preserve">REDIS</t>
  </si>
  <si>
    <t xml:space="preserve">https://redis.io/docs/latest/develop/data-types/streams/</t>
  </si>
  <si>
    <t xml:space="preserve">Ingestion via streams</t>
  </si>
  <si>
    <t xml:space="preserve">Yesterday: Async services</t>
  </si>
  <si>
    <t xml:space="preserve">Caching &amp; Postgres tuning</t>
  </si>
  <si>
    <t xml:space="preserve">Cache tiers; indexes; pooling; EXPLAIN</t>
  </si>
  <si>
    <t xml:space="preserve">Postgres docs EXPLAIN</t>
  </si>
  <si>
    <t xml:space="preserve">Cache tiers; tuned queries</t>
  </si>
  <si>
    <t xml:space="preserve">Yesterday: Queues &amp; streams</t>
  </si>
  <si>
    <t xml:space="preserve">Reliability patterns</t>
  </si>
  <si>
    <t xml:space="preserve">Idempotency, retries+jitter, circuit breakers</t>
  </si>
  <si>
    <t xml:space="preserve">DDIA ch 8</t>
  </si>
  <si>
    <t xml:space="preserve">DDIA</t>
  </si>
  <si>
    <t xml:space="preserve">https://dataintensive.net/</t>
  </si>
  <si>
    <t xml:space="preserve">Patterns library + tests</t>
  </si>
  <si>
    <t xml:space="preserve">Yesterday: Caching &amp; Postgres tuning</t>
  </si>
  <si>
    <t xml:space="preserve">Serving architectures &amp; routing</t>
  </si>
  <si>
    <t xml:space="preserve">Sync/async; small-vs-large routing; cost</t>
  </si>
  <si>
    <t xml:space="preserve">HUYEN ch 9</t>
  </si>
  <si>
    <t xml:space="preserve">Cost-aware router</t>
  </si>
  <si>
    <t xml:space="preserve">Yesterday: Reliability patterns</t>
  </si>
  <si>
    <t xml:space="preserve">System design drills</t>
  </si>
  <si>
    <t xml:space="preserve">RAG 10M docs; LLM 1k QPS; voice 2 s</t>
  </si>
  <si>
    <t xml:space="preserve">3 whiteboard designs (recorded)</t>
  </si>
  <si>
    <t xml:space="preserve">Yesterday: Serving architectures &amp; routing</t>
  </si>
  <si>
    <t xml:space="preserve">Recordings + Anki</t>
  </si>
  <si>
    <t xml:space="preserve">WEEKLY CHECKPOINT 46: Distributed systems for AI + system design</t>
  </si>
  <si>
    <t xml:space="preserve">Self-test 10 concept Qs + interview Qs: At-least-once implications; Circuit breaker states; Design LLM serving with cost cap (score bands: &lt;40 weak, 40-60 needs work, 60-75 acceptable, 75-90 strong, 90+ excellent; &lt;75% =&gt; revise before next week) (60 min); redo hardest implementation from blank file (30 min)</t>
  </si>
  <si>
    <t xml:space="preserve">P6 plan</t>
  </si>
  <si>
    <t xml:space="preserve">Lifecycle for Project 1 model</t>
  </si>
  <si>
    <t xml:space="preserve">Architecture + ADRs</t>
  </si>
  <si>
    <t xml:space="preserve">Yesterday: System design drills</t>
  </si>
  <si>
    <t xml:space="preserve">P6 data + training stage</t>
  </si>
  <si>
    <t xml:space="preserve">DVC + MLflow</t>
  </si>
  <si>
    <t xml:space="preserve">Wire</t>
  </si>
  <si>
    <t xml:space="preserve">Yesterday: P6 plan</t>
  </si>
  <si>
    <t xml:space="preserve">P6 validation + registry</t>
  </si>
  <si>
    <t xml:space="preserve">Gates; promotion</t>
  </si>
  <si>
    <t xml:space="preserve">Yesterday: P6 data + training stage</t>
  </si>
  <si>
    <t xml:space="preserve">P6 deploy</t>
  </si>
  <si>
    <t xml:space="preserve">Container Apps + Postgres + Redis</t>
  </si>
  <si>
    <t xml:space="preserve">Deploy</t>
  </si>
  <si>
    <t xml:space="preserve">Yesterday: P6 validation + registry</t>
  </si>
  <si>
    <t xml:space="preserve">URL</t>
  </si>
  <si>
    <t xml:space="preserve">P6 monitoring</t>
  </si>
  <si>
    <t xml:space="preserve">Dashboards; drift</t>
  </si>
  <si>
    <t xml:space="preserve">Yesterday: P6 deploy</t>
  </si>
  <si>
    <t xml:space="preserve">P6 retrain loop</t>
  </si>
  <si>
    <t xml:space="preserve">Trigger; approval; rollback</t>
  </si>
  <si>
    <t xml:space="preserve">Yesterday: P6 monitoring</t>
  </si>
  <si>
    <t xml:space="preserve">WEEKLY CHECKPOINT 47: PROJECT 6: platform (week 1)</t>
  </si>
  <si>
    <t xml:space="preserve">Self-test 10 concept Qs + interview Qs: Canary vs shadow; Retrain gate; Where it's still manual (score bands: &lt;40 weak, 40-60 needs work, 60-75 acceptable, 75-90 strong, 90+ excellent; &lt;75% =&gt; revise before next week) (60 min); redo hardest implementation from blank file (30 min)</t>
  </si>
  <si>
    <t xml:space="preserve">P6 demo</t>
  </si>
  <si>
    <t xml:space="preserve">Inject drift -&gt; alert -&gt; retrain -&gt; promote</t>
  </si>
  <si>
    <t xml:space="preserve">Record demo</t>
  </si>
  <si>
    <t xml:space="preserve">Yesterday: P6 retrain loop</t>
  </si>
  <si>
    <t xml:space="preserve">Video</t>
  </si>
  <si>
    <t xml:space="preserve">P6 cost dashboard</t>
  </si>
  <si>
    <t xml:space="preserve">Per-request cost</t>
  </si>
  <si>
    <t xml:space="preserve">Dashboard</t>
  </si>
  <si>
    <t xml:space="preserve">Yesterday: P6 demo</t>
  </si>
  <si>
    <t xml:space="preserve">P6 README</t>
  </si>
  <si>
    <t xml:space="preserve">Yesterday: P6 cost dashboard</t>
  </si>
  <si>
    <t xml:space="preserve">P6 reproduce</t>
  </si>
  <si>
    <t xml:space="preserve">Clean clone + IaC</t>
  </si>
  <si>
    <t xml:space="preserve">Yesterday: P6 README</t>
  </si>
  <si>
    <t xml:space="preserve">P6 system-design defence</t>
  </si>
  <si>
    <t xml:space="preserve">Full platform design</t>
  </si>
  <si>
    <t xml:space="preserve">Yesterday: P6 reproduce</t>
  </si>
  <si>
    <t xml:space="preserve">Doc</t>
  </si>
  <si>
    <t xml:space="preserve">P6 defence</t>
  </si>
  <si>
    <t xml:space="preserve">9 questions</t>
  </si>
  <si>
    <t xml:space="preserve">Answers</t>
  </si>
  <si>
    <t xml:space="preserve">Yesterday: P6 system-design defence</t>
  </si>
  <si>
    <t xml:space="preserve">CP6 self-grade</t>
  </si>
  <si>
    <t xml:space="preserve">WEEKLY CHECKPOINT 48: PROJECT 6 (week 2)</t>
  </si>
  <si>
    <t xml:space="preserve">Self-test 10 concept Qs + interview Qs: Full-lifecycle explanation; Failure isolation; V2 (score bands: &lt;40 weak, 40-60 needs work, 60-75 acceptable, 75-90 strong, 90+ excellent; &lt;75% =&gt; revise before next week) (60 min); redo hardest implementation from blank file (30 min)</t>
  </si>
  <si>
    <t xml:space="preserve">GPU architecture &amp; memory hierarchy</t>
  </si>
  <si>
    <t xml:space="preserve">SMs, warps, tensor cores, bandwidth, roofline</t>
  </si>
  <si>
    <t xml:space="preserve">PMPP ch 1-4; CUDA ch 1-3</t>
  </si>
  <si>
    <t xml:space="preserve">PMPP</t>
  </si>
  <si>
    <t xml:space="preserve">https://www.elsevier.com/books/programming-massively-parallel-processors/hwu/978-0-323-91231-0</t>
  </si>
  <si>
    <t xml:space="preserve">Roofline for your ops</t>
  </si>
  <si>
    <t xml:space="preserve">Yesterday: P6 defence</t>
  </si>
  <si>
    <t xml:space="preserve">First CUDA kernel</t>
  </si>
  <si>
    <t xml:space="preserve">Vector add; tiled matmul</t>
  </si>
  <si>
    <t xml:space="preserve">CUDA ch 2-3</t>
  </si>
  <si>
    <t xml:space="preserve">CUDA</t>
  </si>
  <si>
    <t xml:space="preserve">https://docs.nvidia.com/cuda/cuda-c-programming-guide/</t>
  </si>
  <si>
    <t xml:space="preserve">Write + time</t>
  </si>
  <si>
    <t xml:space="preserve">Yesterday: GPU architecture &amp; memory hierarchy</t>
  </si>
  <si>
    <t xml:space="preserve">PyTorch GPU profiling</t>
  </si>
  <si>
    <t xml:space="preserve">Kernel launches; fusion; compile</t>
  </si>
  <si>
    <t xml:space="preserve">Profile MiniGPT; fuse</t>
  </si>
  <si>
    <t xml:space="preserve">Yesterday: First CUDA kernel</t>
  </si>
  <si>
    <t xml:space="preserve">Quantisation methods</t>
  </si>
  <si>
    <t xml:space="preserve">AWQ, GPTQ, SmoothQuant</t>
  </si>
  <si>
    <t xml:space="preserve">AWQ sec 3; GPTQ sec 3</t>
  </si>
  <si>
    <t xml:space="preserve">AWQ</t>
  </si>
  <si>
    <t xml:space="preserve">https://arxiv.org/abs/2306.00978</t>
  </si>
  <si>
    <t xml:space="preserve">Quantise 1-3B two ways</t>
  </si>
  <si>
    <t xml:space="preserve">Yesterday: PyTorch GPU profiling</t>
  </si>
  <si>
    <t xml:space="preserve">Pruning &amp; distillation</t>
  </si>
  <si>
    <t xml:space="preserve">Structured pruning; KD loss</t>
  </si>
  <si>
    <t xml:space="preserve">KD sec 2</t>
  </si>
  <si>
    <t xml:space="preserve">KD</t>
  </si>
  <si>
    <t xml:space="preserve">https://arxiv.org/abs/1503.02531</t>
  </si>
  <si>
    <t xml:space="preserve">Prune CNN; distil CNN</t>
  </si>
  <si>
    <t xml:space="preserve">Yesterday: Quantisation methods</t>
  </si>
  <si>
    <t xml:space="preserve">Table + derivation</t>
  </si>
  <si>
    <t xml:space="preserve">ONNX Runtime + TensorRT (light)</t>
  </si>
  <si>
    <t xml:space="preserve">Graph opts; engines</t>
  </si>
  <si>
    <t xml:space="preserve">ONNX performance; TensorRT quickstart</t>
  </si>
  <si>
    <t xml:space="preserve">Optimise CNN; benchmark</t>
  </si>
  <si>
    <t xml:space="preserve">Yesterday: Pruning &amp; distillation</t>
  </si>
  <si>
    <t xml:space="preserve">Table + Anki</t>
  </si>
  <si>
    <t xml:space="preserve">WEEKLY CHECKPOINT 49: GPU basics &amp; compression</t>
  </si>
  <si>
    <t xml:space="preserve">Self-test 10 concept Qs + interview Qs: Roofline; Why batching raises throughput; AWQ vs GPTQ (score bands: &lt;40 weak, 40-60 needs work, 60-75 acceptable, 75-90 strong, 90+ excellent; &lt;75% =&gt; revise before next week) (60 min); redo hardest implementation from blank file (30 min)</t>
  </si>
  <si>
    <t xml:space="preserve">vLLM</t>
  </si>
  <si>
    <t xml:space="preserve">Engine args; API; batching</t>
  </si>
  <si>
    <t xml:space="preserve">VLLM quickstart</t>
  </si>
  <si>
    <t xml:space="preserve">VLLM</t>
  </si>
  <si>
    <t xml:space="preserve">https://docs.vllm.ai/</t>
  </si>
  <si>
    <t xml:space="preserve">Serve; benchmark</t>
  </si>
  <si>
    <t xml:space="preserve">Yesterday: ONNX Runtime + TensorRT (light)</t>
  </si>
  <si>
    <t xml:space="preserve">PagedAttention &amp; continuous batching</t>
  </si>
  <si>
    <t xml:space="preserve">KV paging; scheduling</t>
  </si>
  <si>
    <t xml:space="preserve">VLLM paper sec 3-4</t>
  </si>
  <si>
    <t xml:space="preserve">Diagram; fragmentation measure</t>
  </si>
  <si>
    <t xml:space="preserve">Yesterday: vLLM</t>
  </si>
  <si>
    <t xml:space="preserve">Speculative decoding</t>
  </si>
  <si>
    <t xml:space="preserve">Draft/verify; acceptance</t>
  </si>
  <si>
    <t xml:space="preserve">SPEC sec 2-3</t>
  </si>
  <si>
    <t xml:space="preserve">SPEC</t>
  </si>
  <si>
    <t xml:space="preserve">https://arxiv.org/abs/2211.17192</t>
  </si>
  <si>
    <t xml:space="preserve">Try; measure</t>
  </si>
  <si>
    <t xml:space="preserve">Yesterday: PagedAttention &amp; continuous batching</t>
  </si>
  <si>
    <t xml:space="preserve">KV-cache management</t>
  </si>
  <si>
    <t xml:space="preserve">Prefix caching; quantised KV</t>
  </si>
  <si>
    <t xml:space="preserve">VLLM docs</t>
  </si>
  <si>
    <t xml:space="preserve">Prefix caching experiment</t>
  </si>
  <si>
    <t xml:space="preserve">Yesterday: Speculative decoding</t>
  </si>
  <si>
    <t xml:space="preserve">Benchmark methodology</t>
  </si>
  <si>
    <t xml:space="preserve">TTFT, TPOT, p95, cost/1k tokens</t>
  </si>
  <si>
    <t xml:space="preserve">Harness + cost model</t>
  </si>
  <si>
    <t xml:space="preserve">Yesterday: KV-cache management</t>
  </si>
  <si>
    <t xml:space="preserve">Serving design</t>
  </si>
  <si>
    <t xml:space="preserve">Routing; autoscaling; multi-tenant</t>
  </si>
  <si>
    <t xml:space="preserve">Yesterday: Benchmark methodology</t>
  </si>
  <si>
    <t xml:space="preserve">Doc + Anki</t>
  </si>
  <si>
    <t xml:space="preserve">WEEKLY CHECKPOINT 50: LLM serving</t>
  </si>
  <si>
    <t xml:space="preserve">Self-test 10 concept Qs + interview Qs: TTFT vs TPOT; Why PagedAttention; Speculative decoding math (score bands: &lt;40 weak, 40-60 needs work, 60-75 acceptable, 75-90 strong, 90+ excellent; &lt;75% =&gt; revise before next week) (60 min); redo hardest implementation from blank file (30 min)</t>
  </si>
  <si>
    <t xml:space="preserve">Finding &amp; reading papers</t>
  </si>
  <si>
    <t xml:space="preserve">Three-pass; paper log</t>
  </si>
  <si>
    <t xml:space="preserve">KESHAV; PWC</t>
  </si>
  <si>
    <t xml:space="preserve">KESHAV</t>
  </si>
  <si>
    <t xml:space="preserve">https://web.stanford.edu/class/ee384m/Handouts/HowtoReadPaper.pdf</t>
  </si>
  <si>
    <t xml:space="preserve">Log; pick paper A (specialisation)</t>
  </si>
  <si>
    <t xml:space="preserve">Yesterday: Serving design</t>
  </si>
  <si>
    <t xml:space="preserve">Summary A</t>
  </si>
  <si>
    <t xml:space="preserve">Equations to code</t>
  </si>
  <si>
    <t xml:space="preserve">Map equations to functions</t>
  </si>
  <si>
    <t xml:space="preserve">Implement core of A</t>
  </si>
  <si>
    <t xml:space="preserve">Yesterday: Finding &amp; reading papers</t>
  </si>
  <si>
    <t xml:space="preserve">Code</t>
  </si>
  <si>
    <t xml:space="preserve">Reproduction</t>
  </si>
  <si>
    <t xml:space="preserve">Small-scale; baseline; sanity checks</t>
  </si>
  <si>
    <t xml:space="preserve">Baseline + repro run</t>
  </si>
  <si>
    <t xml:space="preserve">Yesterday: Equations to code</t>
  </si>
  <si>
    <t xml:space="preserve">Numbers</t>
  </si>
  <si>
    <t xml:space="preserve">Ablation</t>
  </si>
  <si>
    <t xml:space="preserve">One factor; seeds; error bars</t>
  </si>
  <si>
    <t xml:space="preserve">Ablation runs (MLflow)</t>
  </si>
  <si>
    <t xml:space="preserve">Yesterday: Reproduction</t>
  </si>
  <si>
    <t xml:space="preserve">Statistical reporting + write-up</t>
  </si>
  <si>
    <t xml:space="preserve">CIs across seeds; 2-page report</t>
  </si>
  <si>
    <t xml:space="preserve">BRUCE ch 2-3</t>
  </si>
  <si>
    <t xml:space="preserve">Yesterday: Ablation</t>
  </si>
  <si>
    <t xml:space="preserve">Paper B + ideas</t>
  </si>
  <si>
    <t xml:space="preserve">Current paper; transfer to projects</t>
  </si>
  <si>
    <t xml:space="preserve">PWC</t>
  </si>
  <si>
    <t xml:space="preserve">https://paperswithcode.com/</t>
  </si>
  <si>
    <t xml:space="preserve">Summary B; ideas list</t>
  </si>
  <si>
    <t xml:space="preserve">Yesterday: Statistical reporting + write-up</t>
  </si>
  <si>
    <t xml:space="preserve">Ideas.md + Anki</t>
  </si>
  <si>
    <t xml:space="preserve">WEEKLY CHECKPOINT 51: Reading, reproduction, ablation</t>
  </si>
  <si>
    <t xml:space="preserve">Self-test 10 concept Qs + interview Qs: Why seeds matter for claims; What an ablation proves; Limitations you'd state (score bands: &lt;40 weak, 40-60 needs work, 60-75 acceptable, 75-90 strong, 90+ excellent; &lt;75% =&gt; revise before next week) (60 min); redo hardest implementation from blank file (30 min)</t>
  </si>
  <si>
    <t xml:space="preserve">Architecture &amp; integration plan</t>
  </si>
  <si>
    <t xml:space="preserve">All components; interfaces</t>
  </si>
  <si>
    <t xml:space="preserve">Architecture doc + ADRs</t>
  </si>
  <si>
    <t xml:space="preserve">Yesterday: Paper B + ideas</t>
  </si>
  <si>
    <t xml:space="preserve">Edge + ingestion + RAG wiring</t>
  </si>
  <si>
    <t xml:space="preserve">RPi -&gt; stream -&gt; Postgres; RegRAG over manuals/logs</t>
  </si>
  <si>
    <t xml:space="preserve">Yesterday: Architecture &amp; integration plan</t>
  </si>
  <si>
    <t xml:space="preserve">Voice + routing</t>
  </si>
  <si>
    <t xml:space="preserve">TanglishVoice front end; local vs hosted routing</t>
  </si>
  <si>
    <t xml:space="preserve">Wire router</t>
  </si>
  <si>
    <t xml:space="preserve">Yesterday: Edge + ingestion + RAG wiring</t>
  </si>
  <si>
    <t xml:space="preserve">End-to-end eval + reliability</t>
  </si>
  <si>
    <t xml:space="preserve">Task success; time-to-answer; chaos</t>
  </si>
  <si>
    <t xml:space="preserve">Eval + tests</t>
  </si>
  <si>
    <t xml:space="preserve">Yesterday: Voice + routing</t>
  </si>
  <si>
    <t xml:space="preserve">Security + cost</t>
  </si>
  <si>
    <t xml:space="preserve">Threat model; OWASP map; cost model</t>
  </si>
  <si>
    <t xml:space="preserve">Review + fixes; cost.md</t>
  </si>
  <si>
    <t xml:space="preserve">Yesterday: End-to-end eval + reliability</t>
  </si>
  <si>
    <t xml:space="preserve">Docs, demo, mock interviews</t>
  </si>
  <si>
    <t xml:space="preserve">README; video; recorded system-design + project defence</t>
  </si>
  <si>
    <t xml:space="preserve">Docs + 2 recorded mocks</t>
  </si>
  <si>
    <t xml:space="preserve">Yesterday: Security + cost</t>
  </si>
  <si>
    <t xml:space="preserve">CP7 self-grade + resume</t>
  </si>
  <si>
    <t xml:space="preserve">WEEKLY CHECKPOINT 52: Flagship: Sentinel-Edge</t>
  </si>
  <si>
    <t xml:space="preserve">Self-test 10 concept Qs + interview Qs: Defend every decision; Biggest weakness; V2 changes (score bands: &lt;40 weak, 40-60 needs work, 60-75 acceptable, 75-90 strong, 90+ excellent; &lt;75% =&gt; revise before next week) (60 min); redo hardest implementation from blank file (30 min)</t>
  </si>
  <si>
    <t xml:space="preserve">DAY 365: Final assessment (CP7 sign-off)</t>
  </si>
  <si>
    <t xml:space="preserve">Part 22 checklist (20 items)</t>
  </si>
  <si>
    <t xml:space="preserve">Demonstrate 5 random checklist items from blank files; score all 20; write next-year plan</t>
  </si>
  <si>
    <t xml:space="preserve">Everything</t>
  </si>
  <si>
    <t xml:space="preserve">Checklist score + plan</t>
  </si>
  <si>
    <t xml:space="preserve">Key</t>
  </si>
  <si>
    <t xml:space="preserve">Resource</t>
  </si>
  <si>
    <t xml:space="preserve">What to study</t>
  </si>
  <si>
    <t xml:space="preserve">What to skip</t>
  </si>
  <si>
    <t xml:space="preserve">Mathematics for Machine Learning (Deisenroth, Faisal, Ong) - free PDF</t>
  </si>
  <si>
    <t xml:space="preserve">Ch 2-8, 10</t>
  </si>
  <si>
    <t xml:space="preserve">Ch 9, 11, 12</t>
  </si>
  <si>
    <t xml:space="preserve">3B1B-LA</t>
  </si>
  <si>
    <t xml:space="preserve">3Blue1Brown - Essence of Linear Algebra</t>
  </si>
  <si>
    <t xml:space="preserve">https://www.3blue1brown.com/topics/linear-algebra</t>
  </si>
  <si>
    <t xml:space="preserve">All 16 episodes</t>
  </si>
  <si>
    <t xml:space="preserve">3B1B-CALC</t>
  </si>
  <si>
    <t xml:space="preserve">3Blue1Brown - Essence of Calculus</t>
  </si>
  <si>
    <t xml:space="preserve">https://www.3blue1brown.com/topics/calculus</t>
  </si>
  <si>
    <t xml:space="preserve">Ep 1-4, 6</t>
  </si>
  <si>
    <t xml:space="preserve">Practical Statistics for Data Scientists (Bruce &amp; Bruce, O'Reilly)</t>
  </si>
  <si>
    <t xml:space="preserve">Ch 1-3</t>
  </si>
  <si>
    <t xml:space="preserve">Ch 4-7</t>
  </si>
  <si>
    <t xml:space="preserve">Andrew Ng - Machine Learning Specialization (Coursera, audit free)</t>
  </si>
  <si>
    <t xml:space="preserve">C1-C3 lectures; implement labs in NumPy/PyTorch</t>
  </si>
  <si>
    <t xml:space="preserve">TensorFlow labs</t>
  </si>
  <si>
    <t xml:space="preserve">Hands-On Machine Learning, 3rd ed. (Géron)</t>
  </si>
  <si>
    <t xml:space="preserve">Ch 2-9</t>
  </si>
  <si>
    <t xml:space="preserve">Ch 10+ (Keras)</t>
  </si>
  <si>
    <t xml:space="preserve">SHAP documentation</t>
  </si>
  <si>
    <t xml:space="preserve">Intro + TreeExplainer</t>
  </si>
  <si>
    <t xml:space="preserve">Everything else</t>
  </si>
  <si>
    <t xml:space="preserve">LightGBM parameters docs</t>
  </si>
  <si>
    <t xml:space="preserve">Tuning page</t>
  </si>
  <si>
    <t xml:space="preserve">Kaggle Learn - Feature Engineering</t>
  </si>
  <si>
    <t xml:space="preserve">All</t>
  </si>
  <si>
    <t xml:space="preserve">Optuna docs</t>
  </si>
  <si>
    <t xml:space="preserve">Tutorial</t>
  </si>
  <si>
    <t xml:space="preserve">imbalanced-learn user guide</t>
  </si>
  <si>
    <t xml:space="preserve">Over/under-sampling caveats</t>
  </si>
  <si>
    <t xml:space="preserve">Karpathy - Neural Networks: Zero to Hero (YouTube)</t>
  </si>
  <si>
    <t xml:space="preserve">micrograd, makemore 1-5, GPT, tokenizer</t>
  </si>
  <si>
    <t xml:space="preserve">Karpathy - A Recipe for Training Neural Networks</t>
  </si>
  <si>
    <t xml:space="preserve">PyTorch official tutorials</t>
  </si>
  <si>
    <t xml:space="preserve">Basics, Autograd, Data, AMP, Profiler, Save/Load</t>
  </si>
  <si>
    <t xml:space="preserve">Distributed (concepts only)</t>
  </si>
  <si>
    <t xml:space="preserve">PyTorch AMP recipe</t>
  </si>
  <si>
    <t xml:space="preserve">CS231n notes (Stanford)</t>
  </si>
  <si>
    <t xml:space="preserve">Neural nets 1-3, CNNs</t>
  </si>
  <si>
    <t xml:space="preserve">Dive into Deep Learning (d2l.ai)</t>
  </si>
  <si>
    <t xml:space="preserve">Ch 9-11 (RNN, modern RNN, attention)</t>
  </si>
  <si>
    <t xml:space="preserve">Rest</t>
  </si>
  <si>
    <t xml:space="preserve">ResNet paper (He et al. 2015)</t>
  </si>
  <si>
    <t xml:space="preserve">Sec 3-4</t>
  </si>
  <si>
    <t xml:space="preserve">MobileNetV2 paper</t>
  </si>
  <si>
    <t xml:space="preserve">Sec 3</t>
  </si>
  <si>
    <t xml:space="preserve">torchaudio docs - transforms</t>
  </si>
  <si>
    <t xml:space="preserve">Spectrogram/MelSpectrogram</t>
  </si>
  <si>
    <t xml:space="preserve">ONNX Runtime docs</t>
  </si>
  <si>
    <t xml:space="preserve">Export, quantization, performance</t>
  </si>
  <si>
    <t xml:space="preserve">Build a Large Language Model (From Scratch) - Raschka + code</t>
  </si>
  <si>
    <t xml:space="preserve">All chapters + appendix E</t>
  </si>
  <si>
    <t xml:space="preserve">Appendix D</t>
  </si>
  <si>
    <t xml:space="preserve">Attention Is All You Need</t>
  </si>
  <si>
    <t xml:space="preserve">RoFormer / RoPE paper</t>
  </si>
  <si>
    <t xml:space="preserve">Stanford CS336 - Language Modeling from Scratch</t>
  </si>
  <si>
    <t xml:space="preserve">Lectures 1-12 + inference lecture</t>
  </si>
  <si>
    <t xml:space="preserve">Assignments 2-5</t>
  </si>
  <si>
    <t xml:space="preserve">Transformer Inference Arithmetic (kipp.ly)</t>
  </si>
  <si>
    <t xml:space="preserve">Chinchilla scaling paper</t>
  </si>
  <si>
    <t xml:space="preserve">Sec 3 + figures</t>
  </si>
  <si>
    <t xml:space="preserve">FlashAttention paper</t>
  </si>
  <si>
    <t xml:space="preserve">Direct Preference Optimization paper</t>
  </si>
  <si>
    <t xml:space="preserve">Sec 4</t>
  </si>
  <si>
    <t xml:space="preserve">INSTRUCTGPT</t>
  </si>
  <si>
    <t xml:space="preserve">InstructGPT paper</t>
  </si>
  <si>
    <t xml:space="preserve">https://arxiv.org/abs/2203.02155</t>
  </si>
  <si>
    <t xml:space="preserve">Lost in the Middle paper</t>
  </si>
  <si>
    <t xml:space="preserve">All (short)</t>
  </si>
  <si>
    <t xml:space="preserve">AI Engineering (Chip Huyen, O'Reilly 2025)</t>
  </si>
  <si>
    <t xml:space="preserve">Ch 1-7, 9</t>
  </si>
  <si>
    <t xml:space="preserve">Ch 8, 10</t>
  </si>
  <si>
    <t xml:space="preserve">Anthropic prompt engineering docs</t>
  </si>
  <si>
    <t xml:space="preserve">Overview + techniques</t>
  </si>
  <si>
    <t xml:space="preserve">Pydantic docs</t>
  </si>
  <si>
    <t xml:space="preserve">Models, validation</t>
  </si>
  <si>
    <t xml:space="preserve">Anthropic tool use docs</t>
  </si>
  <si>
    <t xml:space="preserve">Overview</t>
  </si>
  <si>
    <t xml:space="preserve">Hugging Face LLM course</t>
  </si>
  <si>
    <t xml:space="preserve">Sentence-Transformers docs</t>
  </si>
  <si>
    <t xml:space="preserve">Usage + training overview</t>
  </si>
  <si>
    <t xml:space="preserve">HNSW paper (Malkov &amp; Yashunin)</t>
  </si>
  <si>
    <t xml:space="preserve">Sec 1-4</t>
  </si>
  <si>
    <t xml:space="preserve">FAISS wiki</t>
  </si>
  <si>
    <t xml:space="preserve">Guidelines to choose an index; IVF/PQ pages</t>
  </si>
  <si>
    <t xml:space="preserve">pgvector README</t>
  </si>
  <si>
    <t xml:space="preserve">Indexing, filtering</t>
  </si>
  <si>
    <t xml:space="preserve">Pretrained Transformers for Text Ranking (Lin, Nogueira, Yates)</t>
  </si>
  <si>
    <t xml:space="preserve">Ch 4+</t>
  </si>
  <si>
    <t xml:space="preserve">BM25 - Robertson &amp; Zaragoza overview</t>
  </si>
  <si>
    <t xml:space="preserve">Sec 1-3</t>
  </si>
  <si>
    <t xml:space="preserve">Anthropic - Contextual Retrieval</t>
  </si>
  <si>
    <t xml:space="preserve">RAGAS docs</t>
  </si>
  <si>
    <t xml:space="preserve">Metrics + getting started</t>
  </si>
  <si>
    <t xml:space="preserve">HyDE paper</t>
  </si>
  <si>
    <t xml:space="preserve">Sec 2-3</t>
  </si>
  <si>
    <t xml:space="preserve">LoRA paper</t>
  </si>
  <si>
    <t xml:space="preserve">QLoRA paper</t>
  </si>
  <si>
    <t xml:space="preserve">Unsloth docs</t>
  </si>
  <si>
    <t xml:space="preserve">Fine-tuning guide</t>
  </si>
  <si>
    <t xml:space="preserve">Hugging Face PEFT docs</t>
  </si>
  <si>
    <t xml:space="preserve">LoRA, conceptual guides</t>
  </si>
  <si>
    <t xml:space="preserve">Exotic methods</t>
  </si>
  <si>
    <t xml:space="preserve">Hugging Face TRL docs</t>
  </si>
  <si>
    <t xml:space="preserve">SFTTrainer, DPOTrainer</t>
  </si>
  <si>
    <t xml:space="preserve">Whisper paper</t>
  </si>
  <si>
    <t xml:space="preserve">HF blog - Fine-tune Whisper</t>
  </si>
  <si>
    <t xml:space="preserve">Hugging Face Audio course</t>
  </si>
  <si>
    <t xml:space="preserve">Units 1-5, 7</t>
  </si>
  <si>
    <t xml:space="preserve">Unit 6 (optional)</t>
  </si>
  <si>
    <t xml:space="preserve">faster-whisper (CTranslate2)</t>
  </si>
  <si>
    <t xml:space="preserve">Anthropic - Building Effective Agents</t>
  </si>
  <si>
    <t xml:space="preserve">ReAct paper</t>
  </si>
  <si>
    <t xml:space="preserve">REFLEXION</t>
  </si>
  <si>
    <t xml:space="preserve">Reflexion paper</t>
  </si>
  <si>
    <t xml:space="preserve">https://arxiv.org/abs/2303.11366</t>
  </si>
  <si>
    <t xml:space="preserve">MemGPT paper</t>
  </si>
  <si>
    <t xml:space="preserve">Sec 2</t>
  </si>
  <si>
    <t xml:space="preserve">LangGraph docs</t>
  </si>
  <si>
    <t xml:space="preserve">Concepts + quickstart</t>
  </si>
  <si>
    <t xml:space="preserve">Model Context Protocol spec</t>
  </si>
  <si>
    <t xml:space="preserve">Spec + Python SDK quickstart</t>
  </si>
  <si>
    <t xml:space="preserve">OWASP Top 10 for LLM Applications</t>
  </si>
  <si>
    <t xml:space="preserve">All 10</t>
  </si>
  <si>
    <t xml:space="preserve">GRESHAKE</t>
  </si>
  <si>
    <t xml:space="preserve">Indirect prompt injection (Greshake et al. 2023)</t>
  </si>
  <si>
    <t xml:space="preserve">https://arxiv.org/abs/2302.12173</t>
  </si>
  <si>
    <t xml:space="preserve">Sec 2-4</t>
  </si>
  <si>
    <t xml:space="preserve">Garak LLM vulnerability scanner</t>
  </si>
  <si>
    <t xml:space="preserve">README + probes</t>
  </si>
  <si>
    <t xml:space="preserve">Sequence Modeling with CTC (Distill)</t>
  </si>
  <si>
    <t xml:space="preserve">wav2vec 2.0 paper</t>
  </si>
  <si>
    <t xml:space="preserve">Silero VAD</t>
  </si>
  <si>
    <t xml:space="preserve">VITS paper</t>
  </si>
  <si>
    <t xml:space="preserve">Sec 2 (skim)</t>
  </si>
  <si>
    <t xml:space="preserve">CLIP paper</t>
  </si>
  <si>
    <t xml:space="preserve">LLaVA paper</t>
  </si>
  <si>
    <t xml:space="preserve">LiteRT (TFLite) quantization guide</t>
  </si>
  <si>
    <t xml:space="preserve">Post-training quantization</t>
  </si>
  <si>
    <t xml:space="preserve">TFLite Micro</t>
  </si>
  <si>
    <t xml:space="preserve">Made With ML (Goku Mohandas)</t>
  </si>
  <si>
    <t xml:space="preserve">All MLOps lessons</t>
  </si>
  <si>
    <t xml:space="preserve">Ray sections</t>
  </si>
  <si>
    <t xml:space="preserve">MLflow docs</t>
  </si>
  <si>
    <t xml:space="preserve">Tracking, Model Registry</t>
  </si>
  <si>
    <t xml:space="preserve">DVC docs</t>
  </si>
  <si>
    <t xml:space="preserve">Get started, pipelines</t>
  </si>
  <si>
    <t xml:space="preserve">Evidently docs</t>
  </si>
  <si>
    <t xml:space="preserve">Data drift</t>
  </si>
  <si>
    <t xml:space="preserve">Designing Machine Learning Systems (Huyen, 2022)</t>
  </si>
  <si>
    <t xml:space="preserve">Ch 5-9</t>
  </si>
  <si>
    <t xml:space="preserve">The ML Test Score (Google)</t>
  </si>
  <si>
    <t xml:space="preserve">FastAPI docs</t>
  </si>
  <si>
    <t xml:space="preserve">Tutorial, async, background tasks</t>
  </si>
  <si>
    <t xml:space="preserve">Docker docs - best practices</t>
  </si>
  <si>
    <t xml:space="preserve">GitHub Actions docs</t>
  </si>
  <si>
    <t xml:space="preserve">Quickstart, workflows</t>
  </si>
  <si>
    <t xml:space="preserve">Locust docs</t>
  </si>
  <si>
    <t xml:space="preserve">Quickstart</t>
  </si>
  <si>
    <t xml:space="preserve">OpenTelemetry Python docs</t>
  </si>
  <si>
    <t xml:space="preserve">Getting started</t>
  </si>
  <si>
    <t xml:space="preserve">Microsoft Learn - Azure fundamentals (AZ-900 path)</t>
  </si>
  <si>
    <t xml:space="preserve">Cloud concepts, core services</t>
  </si>
  <si>
    <t xml:space="preserve">Exam</t>
  </si>
  <si>
    <t xml:space="preserve">Azure Container Apps quickstart</t>
  </si>
  <si>
    <t xml:space="preserve">Deploy a container</t>
  </si>
  <si>
    <t xml:space="preserve">Azure Database for PostgreSQL - pgvector</t>
  </si>
  <si>
    <t xml:space="preserve">Azure Machine Learning quickstart</t>
  </si>
  <si>
    <t xml:space="preserve">Quickstart: train + deploy</t>
  </si>
  <si>
    <t xml:space="preserve">Designing Data-Intensive Applications (Kleppmann)</t>
  </si>
  <si>
    <t xml:space="preserve">Ch 1, 8, 11</t>
  </si>
  <si>
    <t xml:space="preserve">Redis Streams docs</t>
  </si>
  <si>
    <t xml:space="preserve">Programming Massively Parallel Processors (Hwu, Kirk, El Hajj)</t>
  </si>
  <si>
    <t xml:space="preserve">Ch 1-5</t>
  </si>
  <si>
    <t xml:space="preserve">Ch 6+</t>
  </si>
  <si>
    <t xml:space="preserve">CUDA C Programming Guide</t>
  </si>
  <si>
    <t xml:space="preserve">Ch 1-3 (programming model, memory)</t>
  </si>
  <si>
    <t xml:space="preserve">PyTorch Profiler tutorial</t>
  </si>
  <si>
    <t xml:space="preserve">AWQ paper</t>
  </si>
  <si>
    <t xml:space="preserve">GPTQ</t>
  </si>
  <si>
    <t xml:space="preserve">GPTQ paper</t>
  </si>
  <si>
    <t xml:space="preserve">https://arxiv.org/abs/2210.17323</t>
  </si>
  <si>
    <t xml:space="preserve">Distilling the Knowledge in a Neural Network (Hinton)</t>
  </si>
  <si>
    <t xml:space="preserve">vLLM docs + paper</t>
  </si>
  <si>
    <t xml:space="preserve">Quickstart; paper sec 3-4 (arxiv.org/abs/2309.06180)</t>
  </si>
  <si>
    <t xml:space="preserve">Speculative decoding paper (Leviathan)</t>
  </si>
  <si>
    <t xml:space="preserve">How to Read a Paper (Keshav)</t>
  </si>
  <si>
    <t xml:space="preserve">Papers With Code</t>
  </si>
  <si>
    <t xml:space="preserve">Search + SOTA tables</t>
  </si>
  <si>
    <t xml:space="preserve">Own implementation / notes (no external source)</t>
  </si>
  <si>
    <t xml:space="preserve">Python docs - asyncio, typing; pytest docs</t>
  </si>
  <si>
    <t xml:space="preserve">asyncio basics; pytest fixtures</t>
  </si>
  <si>
    <t xml:space="preserve">PROGIT</t>
  </si>
  <si>
    <t xml:space="preserve">Pro Git book</t>
  </si>
  <si>
    <t xml:space="preserve">https://git-scm.com/book/en/v2</t>
  </si>
  <si>
    <t xml:space="preserve">Ch 2-3, 7 (rebase, bisect)</t>
  </si>
  <si>
    <t xml:space="preserve">Internals</t>
  </si>
  <si>
    <t xml:space="preserve">jiwer (WER/CER)</t>
  </si>
  <si>
    <t xml:space="preserve">MOMTEST</t>
  </si>
  <si>
    <t xml:space="preserve">The Mom Test (Fitzpatrick)</t>
  </si>
  <si>
    <t xml:space="preserve">https://www.momtestbook.com/</t>
  </si>
  <si>
    <t xml:space="preserve">ColBERT paper (late interaction)</t>
  </si>
  <si>
    <t xml:space="preserve">Sec 3 (skim)</t>
  </si>
  <si>
    <t xml:space="preserve">ColPali paper</t>
  </si>
  <si>
    <t xml:space="preserve">CONFORMER</t>
  </si>
  <si>
    <t xml:space="preserve">Conformer paper</t>
  </si>
  <si>
    <t xml:space="preserve">https://arxiv.org/abs/2005.08100</t>
  </si>
  <si>
    <t xml:space="preserve">lm-evaluation-harness</t>
  </si>
  <si>
    <t xml:space="preserve">Outlines (structured generation)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</si>
</sst>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-mmm\-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6"/>
    <col collapsed="false" customWidth="true" hidden="false" outlineLevel="0" max="4" min="4" style="0" width="42"/>
    <col collapsed="false" customWidth="true" hidden="false" outlineLevel="0" max="7" min="5" style="0" width="10"/>
    <col collapsed="false" customWidth="true" hidden="false" outlineLevel="0" max="8" min="8" style="0" width="8"/>
  </cols>
  <sheetData>
    <row r="1" customFormat="false" ht="16.15" hidden="false" customHeight="false" outlineLevel="0" collapsed="false">
      <c r="A1" s="1" t="s">
        <v>0</v>
      </c>
    </row>
    <row r="2" customFormat="false" ht="5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n">
        <v>2</v>
      </c>
      <c r="F5" s="4" t="s">
        <v>13</v>
      </c>
      <c r="G5" s="4" t="n">
        <f aca="false">COUNTIF('365-Day Plan (2h)'!O2:O8,"Y")</f>
        <v>0</v>
      </c>
      <c r="H5" s="5" t="n">
        <f aca="false">G5/7</f>
        <v>0</v>
      </c>
    </row>
    <row r="6" customFormat="false" ht="15" hidden="false" customHeight="false" outlineLevel="0" collapsed="false">
      <c r="A6" s="6" t="n">
        <v>2</v>
      </c>
      <c r="B6" s="6" t="s">
        <v>14</v>
      </c>
      <c r="C6" s="6" t="s">
        <v>15</v>
      </c>
      <c r="D6" s="6" t="s">
        <v>16</v>
      </c>
      <c r="E6" s="6" t="n">
        <v>3</v>
      </c>
      <c r="F6" s="6"/>
      <c r="G6" s="6" t="n">
        <f aca="false">COUNTIF('365-Day Plan (2h)'!O9:O15,"Y")</f>
        <v>0</v>
      </c>
      <c r="H6" s="7" t="n">
        <f aca="false">G6/7</f>
        <v>0</v>
      </c>
    </row>
    <row r="7" customFormat="false" ht="15" hidden="false" customHeight="false" outlineLevel="0" collapsed="false">
      <c r="A7" s="6" t="n">
        <v>3</v>
      </c>
      <c r="B7" s="6" t="s">
        <v>17</v>
      </c>
      <c r="C7" s="6" t="s">
        <v>15</v>
      </c>
      <c r="D7" s="6" t="s">
        <v>18</v>
      </c>
      <c r="E7" s="6" t="n">
        <v>4</v>
      </c>
      <c r="F7" s="6"/>
      <c r="G7" s="6" t="n">
        <f aca="false">COUNTIF('365-Day Plan (2h)'!O16:O22,"Y")</f>
        <v>0</v>
      </c>
      <c r="H7" s="7" t="n">
        <f aca="false">G7/7</f>
        <v>0</v>
      </c>
    </row>
    <row r="8" customFormat="false" ht="15" hidden="false" customHeight="false" outlineLevel="0" collapsed="false">
      <c r="A8" s="6" t="n">
        <v>4</v>
      </c>
      <c r="B8" s="6" t="s">
        <v>19</v>
      </c>
      <c r="C8" s="6" t="s">
        <v>15</v>
      </c>
      <c r="D8" s="6" t="s">
        <v>20</v>
      </c>
      <c r="E8" s="6" t="n">
        <v>4</v>
      </c>
      <c r="F8" s="6"/>
      <c r="G8" s="6" t="n">
        <f aca="false">COUNTIF('365-Day Plan (2h)'!O23:O29,"Y")</f>
        <v>0</v>
      </c>
      <c r="H8" s="7" t="n">
        <f aca="false">G8/7</f>
        <v>0</v>
      </c>
    </row>
    <row r="9" customFormat="false" ht="15" hidden="false" customHeight="false" outlineLevel="0" collapsed="false">
      <c r="A9" s="6" t="n">
        <v>5</v>
      </c>
      <c r="B9" s="6" t="s">
        <v>21</v>
      </c>
      <c r="C9" s="6" t="s">
        <v>15</v>
      </c>
      <c r="D9" s="6" t="s">
        <v>22</v>
      </c>
      <c r="E9" s="6" t="n">
        <v>3</v>
      </c>
      <c r="F9" s="6"/>
      <c r="G9" s="6" t="n">
        <f aca="false">COUNTIF('365-Day Plan (2h)'!O30:O36,"Y")</f>
        <v>0</v>
      </c>
      <c r="H9" s="7" t="n">
        <f aca="false">G9/7</f>
        <v>0</v>
      </c>
    </row>
    <row r="10" customFormat="false" ht="32.8" hidden="false" customHeight="false" outlineLevel="0" collapsed="false">
      <c r="A10" s="4" t="n">
        <v>6</v>
      </c>
      <c r="B10" s="4" t="s">
        <v>23</v>
      </c>
      <c r="C10" s="4" t="s">
        <v>15</v>
      </c>
      <c r="D10" s="4" t="s">
        <v>24</v>
      </c>
      <c r="E10" s="4" t="n">
        <v>3</v>
      </c>
      <c r="F10" s="4" t="s">
        <v>25</v>
      </c>
      <c r="G10" s="4" t="n">
        <f aca="false">COUNTIF('365-Day Plan (2h)'!O37:O43,"Y")</f>
        <v>0</v>
      </c>
      <c r="H10" s="5" t="n">
        <f aca="false">G10/7</f>
        <v>0</v>
      </c>
    </row>
    <row r="11" customFormat="false" ht="15" hidden="false" customHeight="false" outlineLevel="0" collapsed="false">
      <c r="A11" s="6" t="n">
        <v>7</v>
      </c>
      <c r="B11" s="6" t="s">
        <v>26</v>
      </c>
      <c r="C11" s="6" t="s">
        <v>27</v>
      </c>
      <c r="D11" s="6" t="s">
        <v>28</v>
      </c>
      <c r="E11" s="6" t="n">
        <v>3</v>
      </c>
      <c r="F11" s="6"/>
      <c r="G11" s="6" t="n">
        <f aca="false">COUNTIF('365-Day Plan (2h)'!O44:O50,"Y")</f>
        <v>0</v>
      </c>
      <c r="H11" s="7" t="n">
        <f aca="false">G11/7</f>
        <v>0</v>
      </c>
    </row>
    <row r="12" customFormat="false" ht="15" hidden="false" customHeight="false" outlineLevel="0" collapsed="false">
      <c r="A12" s="6" t="n">
        <v>8</v>
      </c>
      <c r="B12" s="6" t="s">
        <v>29</v>
      </c>
      <c r="C12" s="6" t="s">
        <v>27</v>
      </c>
      <c r="D12" s="6" t="s">
        <v>30</v>
      </c>
      <c r="E12" s="6" t="n">
        <v>3</v>
      </c>
      <c r="F12" s="6"/>
      <c r="G12" s="6" t="n">
        <f aca="false">COUNTIF('365-Day Plan (2h)'!O51:O57,"Y")</f>
        <v>0</v>
      </c>
      <c r="H12" s="7" t="n">
        <f aca="false">G12/7</f>
        <v>0</v>
      </c>
    </row>
    <row r="13" customFormat="false" ht="15" hidden="false" customHeight="false" outlineLevel="0" collapsed="false">
      <c r="A13" s="6" t="n">
        <v>9</v>
      </c>
      <c r="B13" s="6" t="s">
        <v>31</v>
      </c>
      <c r="C13" s="6" t="s">
        <v>27</v>
      </c>
      <c r="D13" s="6" t="s">
        <v>32</v>
      </c>
      <c r="E13" s="6" t="n">
        <v>3</v>
      </c>
      <c r="F13" s="6"/>
      <c r="G13" s="6" t="n">
        <f aca="false">COUNTIF('365-Day Plan (2h)'!O58:O64,"Y")</f>
        <v>0</v>
      </c>
      <c r="H13" s="7" t="n">
        <f aca="false">G13/7</f>
        <v>0</v>
      </c>
    </row>
    <row r="14" customFormat="false" ht="15" hidden="false" customHeight="false" outlineLevel="0" collapsed="false">
      <c r="A14" s="6" t="n">
        <v>10</v>
      </c>
      <c r="B14" s="6" t="s">
        <v>33</v>
      </c>
      <c r="C14" s="6" t="s">
        <v>27</v>
      </c>
      <c r="D14" s="6" t="s">
        <v>34</v>
      </c>
      <c r="E14" s="6" t="n">
        <v>4</v>
      </c>
      <c r="F14" s="6"/>
      <c r="G14" s="6" t="n">
        <f aca="false">COUNTIF('365-Day Plan (2h)'!O65:O71,"Y")</f>
        <v>0</v>
      </c>
      <c r="H14" s="7" t="n">
        <f aca="false">G14/7</f>
        <v>0</v>
      </c>
    </row>
    <row r="15" customFormat="false" ht="15" hidden="false" customHeight="false" outlineLevel="0" collapsed="false">
      <c r="A15" s="6" t="n">
        <v>11</v>
      </c>
      <c r="B15" s="6" t="s">
        <v>35</v>
      </c>
      <c r="C15" s="6" t="s">
        <v>27</v>
      </c>
      <c r="D15" s="6" t="s">
        <v>36</v>
      </c>
      <c r="E15" s="6" t="n">
        <v>4</v>
      </c>
      <c r="F15" s="6"/>
      <c r="G15" s="6" t="n">
        <f aca="false">COUNTIF('365-Day Plan (2h)'!O72:O78,"Y")</f>
        <v>0</v>
      </c>
      <c r="H15" s="7" t="n">
        <f aca="false">G15/7</f>
        <v>0</v>
      </c>
    </row>
    <row r="16" customFormat="false" ht="15" hidden="false" customHeight="false" outlineLevel="0" collapsed="false">
      <c r="A16" s="4" t="n">
        <v>12</v>
      </c>
      <c r="B16" s="4" t="s">
        <v>37</v>
      </c>
      <c r="C16" s="4" t="s">
        <v>27</v>
      </c>
      <c r="D16" s="4" t="s">
        <v>38</v>
      </c>
      <c r="E16" s="4" t="n">
        <v>4</v>
      </c>
      <c r="F16" s="4" t="s">
        <v>39</v>
      </c>
      <c r="G16" s="4" t="n">
        <f aca="false">COUNTIF('365-Day Plan (2h)'!O79:O85,"Y")</f>
        <v>0</v>
      </c>
      <c r="H16" s="5" t="n">
        <f aca="false">G16/7</f>
        <v>0</v>
      </c>
    </row>
    <row r="17" customFormat="false" ht="15" hidden="false" customHeight="false" outlineLevel="0" collapsed="false">
      <c r="A17" s="6" t="n">
        <v>13</v>
      </c>
      <c r="B17" s="6" t="s">
        <v>40</v>
      </c>
      <c r="C17" s="6" t="s">
        <v>41</v>
      </c>
      <c r="D17" s="6" t="s">
        <v>42</v>
      </c>
      <c r="E17" s="6" t="n">
        <v>4</v>
      </c>
      <c r="F17" s="6"/>
      <c r="G17" s="6" t="n">
        <f aca="false">COUNTIF('365-Day Plan (2h)'!O86:O92,"Y")</f>
        <v>0</v>
      </c>
      <c r="H17" s="7" t="n">
        <f aca="false">G17/7</f>
        <v>0</v>
      </c>
    </row>
    <row r="18" customFormat="false" ht="15" hidden="false" customHeight="false" outlineLevel="0" collapsed="false">
      <c r="A18" s="6" t="n">
        <v>14</v>
      </c>
      <c r="B18" s="6" t="s">
        <v>43</v>
      </c>
      <c r="C18" s="6" t="s">
        <v>41</v>
      </c>
      <c r="D18" s="6" t="s">
        <v>44</v>
      </c>
      <c r="E18" s="6" t="n">
        <v>3</v>
      </c>
      <c r="F18" s="6"/>
      <c r="G18" s="6" t="n">
        <f aca="false">COUNTIF('365-Day Plan (2h)'!O93:O99,"Y")</f>
        <v>0</v>
      </c>
      <c r="H18" s="7" t="n">
        <f aca="false">G18/7</f>
        <v>0</v>
      </c>
    </row>
    <row r="19" customFormat="false" ht="15" hidden="false" customHeight="false" outlineLevel="0" collapsed="false">
      <c r="A19" s="6" t="n">
        <v>15</v>
      </c>
      <c r="B19" s="6" t="s">
        <v>45</v>
      </c>
      <c r="C19" s="6" t="s">
        <v>41</v>
      </c>
      <c r="D19" s="6" t="s">
        <v>46</v>
      </c>
      <c r="E19" s="6" t="n">
        <v>4</v>
      </c>
      <c r="F19" s="6"/>
      <c r="G19" s="6" t="n">
        <f aca="false">COUNTIF('365-Day Plan (2h)'!O100:O106,"Y")</f>
        <v>0</v>
      </c>
      <c r="H19" s="7" t="n">
        <f aca="false">G19/7</f>
        <v>0</v>
      </c>
    </row>
    <row r="20" customFormat="false" ht="15" hidden="false" customHeight="false" outlineLevel="0" collapsed="false">
      <c r="A20" s="6" t="n">
        <v>16</v>
      </c>
      <c r="B20" s="6" t="s">
        <v>47</v>
      </c>
      <c r="C20" s="6" t="s">
        <v>41</v>
      </c>
      <c r="D20" s="6" t="s">
        <v>48</v>
      </c>
      <c r="E20" s="6" t="n">
        <v>3</v>
      </c>
      <c r="F20" s="6"/>
      <c r="G20" s="6" t="n">
        <f aca="false">COUNTIF('365-Day Plan (2h)'!O107:O113,"Y")</f>
        <v>0</v>
      </c>
      <c r="H20" s="7" t="n">
        <f aca="false">G20/7</f>
        <v>0</v>
      </c>
    </row>
    <row r="21" customFormat="false" ht="15" hidden="false" customHeight="false" outlineLevel="0" collapsed="false">
      <c r="A21" s="6" t="n">
        <v>17</v>
      </c>
      <c r="B21" s="6" t="s">
        <v>49</v>
      </c>
      <c r="C21" s="6" t="s">
        <v>41</v>
      </c>
      <c r="D21" s="6" t="s">
        <v>50</v>
      </c>
      <c r="E21" s="6" t="n">
        <v>3</v>
      </c>
      <c r="F21" s="6"/>
      <c r="G21" s="6" t="n">
        <f aca="false">COUNTIF('365-Day Plan (2h)'!O114:O120,"Y")</f>
        <v>0</v>
      </c>
      <c r="H21" s="7" t="n">
        <f aca="false">G21/7</f>
        <v>0</v>
      </c>
    </row>
    <row r="22" customFormat="false" ht="15" hidden="false" customHeight="false" outlineLevel="0" collapsed="false">
      <c r="A22" s="6" t="n">
        <v>18</v>
      </c>
      <c r="B22" s="6" t="s">
        <v>51</v>
      </c>
      <c r="C22" s="6" t="s">
        <v>41</v>
      </c>
      <c r="D22" s="6" t="s">
        <v>52</v>
      </c>
      <c r="E22" s="6" t="n">
        <v>4</v>
      </c>
      <c r="F22" s="6"/>
      <c r="G22" s="6" t="n">
        <f aca="false">COUNTIF('365-Day Plan (2h)'!O121:O127,"Y")</f>
        <v>0</v>
      </c>
      <c r="H22" s="7" t="n">
        <f aca="false">G22/7</f>
        <v>0</v>
      </c>
    </row>
    <row r="23" customFormat="false" ht="15" hidden="false" customHeight="false" outlineLevel="0" collapsed="false">
      <c r="A23" s="4" t="n">
        <v>19</v>
      </c>
      <c r="B23" s="4" t="s">
        <v>53</v>
      </c>
      <c r="C23" s="4" t="s">
        <v>41</v>
      </c>
      <c r="D23" s="4" t="s">
        <v>54</v>
      </c>
      <c r="E23" s="4" t="n">
        <v>4</v>
      </c>
      <c r="F23" s="4" t="s">
        <v>55</v>
      </c>
      <c r="G23" s="4" t="n">
        <f aca="false">COUNTIF('365-Day Plan (2h)'!O128:O134,"Y")</f>
        <v>0</v>
      </c>
      <c r="H23" s="5" t="n">
        <f aca="false">G23/7</f>
        <v>0</v>
      </c>
    </row>
    <row r="24" customFormat="false" ht="15" hidden="false" customHeight="false" outlineLevel="0" collapsed="false">
      <c r="A24" s="6" t="n">
        <v>20</v>
      </c>
      <c r="B24" s="6" t="s">
        <v>56</v>
      </c>
      <c r="C24" s="6" t="s">
        <v>57</v>
      </c>
      <c r="D24" s="6" t="s">
        <v>58</v>
      </c>
      <c r="E24" s="6" t="n">
        <v>4</v>
      </c>
      <c r="F24" s="6"/>
      <c r="G24" s="6" t="n">
        <f aca="false">COUNTIF('365-Day Plan (2h)'!O135:O141,"Y")</f>
        <v>0</v>
      </c>
      <c r="H24" s="7" t="n">
        <f aca="false">G24/7</f>
        <v>0</v>
      </c>
    </row>
    <row r="25" customFormat="false" ht="15" hidden="false" customHeight="false" outlineLevel="0" collapsed="false">
      <c r="A25" s="6" t="n">
        <v>21</v>
      </c>
      <c r="B25" s="6" t="s">
        <v>59</v>
      </c>
      <c r="C25" s="6" t="s">
        <v>57</v>
      </c>
      <c r="D25" s="6" t="s">
        <v>60</v>
      </c>
      <c r="E25" s="6" t="n">
        <v>4</v>
      </c>
      <c r="F25" s="6"/>
      <c r="G25" s="6" t="n">
        <f aca="false">COUNTIF('365-Day Plan (2h)'!O142:O148,"Y")</f>
        <v>0</v>
      </c>
      <c r="H25" s="7" t="n">
        <f aca="false">G25/7</f>
        <v>0</v>
      </c>
    </row>
    <row r="26" customFormat="false" ht="15" hidden="false" customHeight="false" outlineLevel="0" collapsed="false">
      <c r="A26" s="6" t="n">
        <v>22</v>
      </c>
      <c r="B26" s="6" t="s">
        <v>61</v>
      </c>
      <c r="C26" s="6" t="s">
        <v>57</v>
      </c>
      <c r="D26" s="6" t="s">
        <v>62</v>
      </c>
      <c r="E26" s="6" t="n">
        <v>4</v>
      </c>
      <c r="F26" s="6"/>
      <c r="G26" s="6" t="n">
        <f aca="false">COUNTIF('365-Day Plan (2h)'!O149:O155,"Y")</f>
        <v>0</v>
      </c>
      <c r="H26" s="7" t="n">
        <f aca="false">G26/7</f>
        <v>0</v>
      </c>
    </row>
    <row r="27" customFormat="false" ht="15" hidden="false" customHeight="false" outlineLevel="0" collapsed="false">
      <c r="A27" s="6" t="n">
        <v>23</v>
      </c>
      <c r="B27" s="6" t="s">
        <v>63</v>
      </c>
      <c r="C27" s="6" t="s">
        <v>57</v>
      </c>
      <c r="D27" s="6" t="s">
        <v>64</v>
      </c>
      <c r="E27" s="6" t="n">
        <v>4</v>
      </c>
      <c r="F27" s="6"/>
      <c r="G27" s="6" t="n">
        <f aca="false">COUNTIF('365-Day Plan (2h)'!O156:O162,"Y")</f>
        <v>0</v>
      </c>
      <c r="H27" s="7" t="n">
        <f aca="false">G27/7</f>
        <v>0</v>
      </c>
    </row>
    <row r="28" customFormat="false" ht="15" hidden="false" customHeight="false" outlineLevel="0" collapsed="false">
      <c r="A28" s="6" t="n">
        <v>24</v>
      </c>
      <c r="B28" s="6" t="s">
        <v>65</v>
      </c>
      <c r="C28" s="6" t="s">
        <v>57</v>
      </c>
      <c r="D28" s="6" t="s">
        <v>66</v>
      </c>
      <c r="E28" s="6" t="n">
        <v>3</v>
      </c>
      <c r="F28" s="6"/>
      <c r="G28" s="6" t="n">
        <f aca="false">COUNTIF('365-Day Plan (2h)'!O163:O169,"Y")</f>
        <v>0</v>
      </c>
      <c r="H28" s="7" t="n">
        <f aca="false">G28/7</f>
        <v>0</v>
      </c>
    </row>
    <row r="29" customFormat="false" ht="15" hidden="false" customHeight="false" outlineLevel="0" collapsed="false">
      <c r="A29" s="6" t="n">
        <v>25</v>
      </c>
      <c r="B29" s="6" t="s">
        <v>67</v>
      </c>
      <c r="C29" s="6" t="s">
        <v>57</v>
      </c>
      <c r="D29" s="6" t="s">
        <v>68</v>
      </c>
      <c r="E29" s="6" t="n">
        <v>5</v>
      </c>
      <c r="F29" s="6"/>
      <c r="G29" s="6" t="n">
        <f aca="false">COUNTIF('365-Day Plan (2h)'!O170:O176,"Y")</f>
        <v>0</v>
      </c>
      <c r="H29" s="7" t="n">
        <f aca="false">G29/7</f>
        <v>0</v>
      </c>
    </row>
    <row r="30" customFormat="false" ht="15" hidden="false" customHeight="false" outlineLevel="0" collapsed="false">
      <c r="A30" s="4" t="n">
        <v>26</v>
      </c>
      <c r="B30" s="4" t="s">
        <v>69</v>
      </c>
      <c r="C30" s="4" t="s">
        <v>57</v>
      </c>
      <c r="D30" s="4" t="s">
        <v>70</v>
      </c>
      <c r="E30" s="4" t="n">
        <v>5</v>
      </c>
      <c r="F30" s="4" t="s">
        <v>71</v>
      </c>
      <c r="G30" s="4" t="n">
        <f aca="false">COUNTIF('365-Day Plan (2h)'!O177:O183,"Y")</f>
        <v>0</v>
      </c>
      <c r="H30" s="5" t="n">
        <f aca="false">G30/7</f>
        <v>0</v>
      </c>
    </row>
    <row r="31" customFormat="false" ht="15" hidden="false" customHeight="false" outlineLevel="0" collapsed="false">
      <c r="A31" s="6" t="n">
        <v>27</v>
      </c>
      <c r="B31" s="6" t="s">
        <v>72</v>
      </c>
      <c r="C31" s="6" t="s">
        <v>73</v>
      </c>
      <c r="D31" s="6" t="s">
        <v>74</v>
      </c>
      <c r="E31" s="6" t="n">
        <v>3</v>
      </c>
      <c r="F31" s="6"/>
      <c r="G31" s="6" t="n">
        <f aca="false">COUNTIF('365-Day Plan (2h)'!O184:O190,"Y")</f>
        <v>0</v>
      </c>
      <c r="H31" s="7" t="n">
        <f aca="false">G31/7</f>
        <v>0</v>
      </c>
    </row>
    <row r="32" customFormat="false" ht="15" hidden="false" customHeight="false" outlineLevel="0" collapsed="false">
      <c r="A32" s="6" t="n">
        <v>28</v>
      </c>
      <c r="B32" s="6" t="s">
        <v>75</v>
      </c>
      <c r="C32" s="6" t="s">
        <v>73</v>
      </c>
      <c r="D32" s="6" t="s">
        <v>76</v>
      </c>
      <c r="E32" s="6" t="n">
        <v>3</v>
      </c>
      <c r="F32" s="6"/>
      <c r="G32" s="6" t="n">
        <f aca="false">COUNTIF('365-Day Plan (2h)'!O191:O197,"Y")</f>
        <v>0</v>
      </c>
      <c r="H32" s="7" t="n">
        <f aca="false">G32/7</f>
        <v>0</v>
      </c>
    </row>
    <row r="33" customFormat="false" ht="15" hidden="false" customHeight="false" outlineLevel="0" collapsed="false">
      <c r="A33" s="6" t="n">
        <v>29</v>
      </c>
      <c r="B33" s="6" t="s">
        <v>77</v>
      </c>
      <c r="C33" s="6" t="s">
        <v>73</v>
      </c>
      <c r="D33" s="6" t="s">
        <v>78</v>
      </c>
      <c r="E33" s="6" t="n">
        <v>4</v>
      </c>
      <c r="F33" s="6"/>
      <c r="G33" s="6" t="n">
        <f aca="false">COUNTIF('365-Day Plan (2h)'!O198:O204,"Y")</f>
        <v>0</v>
      </c>
      <c r="H33" s="7" t="n">
        <f aca="false">G33/7</f>
        <v>0</v>
      </c>
    </row>
    <row r="34" customFormat="false" ht="15" hidden="false" customHeight="false" outlineLevel="0" collapsed="false">
      <c r="A34" s="6" t="n">
        <v>30</v>
      </c>
      <c r="B34" s="6" t="s">
        <v>79</v>
      </c>
      <c r="C34" s="6" t="s">
        <v>73</v>
      </c>
      <c r="D34" s="6" t="s">
        <v>80</v>
      </c>
      <c r="E34" s="6" t="n">
        <v>4</v>
      </c>
      <c r="F34" s="6"/>
      <c r="G34" s="6" t="n">
        <f aca="false">COUNTIF('365-Day Plan (2h)'!O205:O211,"Y")</f>
        <v>0</v>
      </c>
      <c r="H34" s="7" t="n">
        <f aca="false">G34/7</f>
        <v>0</v>
      </c>
    </row>
    <row r="35" customFormat="false" ht="15" hidden="false" customHeight="false" outlineLevel="0" collapsed="false">
      <c r="A35" s="6" t="n">
        <v>31</v>
      </c>
      <c r="B35" s="6" t="s">
        <v>81</v>
      </c>
      <c r="C35" s="6" t="s">
        <v>73</v>
      </c>
      <c r="D35" s="6" t="s">
        <v>82</v>
      </c>
      <c r="E35" s="6" t="n">
        <v>5</v>
      </c>
      <c r="F35" s="6"/>
      <c r="G35" s="6" t="n">
        <f aca="false">COUNTIF('365-Day Plan (2h)'!O212:O218,"Y")</f>
        <v>0</v>
      </c>
      <c r="H35" s="7" t="n">
        <f aca="false">G35/7</f>
        <v>0</v>
      </c>
    </row>
    <row r="36" customFormat="false" ht="15" hidden="false" customHeight="false" outlineLevel="0" collapsed="false">
      <c r="A36" s="4" t="n">
        <v>32</v>
      </c>
      <c r="B36" s="4" t="s">
        <v>83</v>
      </c>
      <c r="C36" s="4" t="s">
        <v>73</v>
      </c>
      <c r="D36" s="4" t="s">
        <v>84</v>
      </c>
      <c r="E36" s="4" t="n">
        <v>5</v>
      </c>
      <c r="F36" s="4" t="s">
        <v>85</v>
      </c>
      <c r="G36" s="4" t="n">
        <f aca="false">COUNTIF('365-Day Plan (2h)'!O219:O225,"Y")</f>
        <v>0</v>
      </c>
      <c r="H36" s="5" t="n">
        <f aca="false">G36/7</f>
        <v>0</v>
      </c>
    </row>
    <row r="37" customFormat="false" ht="15" hidden="false" customHeight="false" outlineLevel="0" collapsed="false">
      <c r="A37" s="6" t="n">
        <v>33</v>
      </c>
      <c r="B37" s="6" t="s">
        <v>86</v>
      </c>
      <c r="C37" s="6" t="s">
        <v>87</v>
      </c>
      <c r="D37" s="6" t="s">
        <v>88</v>
      </c>
      <c r="E37" s="6" t="n">
        <v>4</v>
      </c>
      <c r="F37" s="6"/>
      <c r="G37" s="6" t="n">
        <f aca="false">COUNTIF('365-Day Plan (2h)'!O226:O232,"Y")</f>
        <v>0</v>
      </c>
      <c r="H37" s="7" t="n">
        <f aca="false">G37/7</f>
        <v>0</v>
      </c>
    </row>
    <row r="38" customFormat="false" ht="15" hidden="false" customHeight="false" outlineLevel="0" collapsed="false">
      <c r="A38" s="6" t="n">
        <v>34</v>
      </c>
      <c r="B38" s="6" t="s">
        <v>89</v>
      </c>
      <c r="C38" s="6" t="s">
        <v>87</v>
      </c>
      <c r="D38" s="6" t="s">
        <v>90</v>
      </c>
      <c r="E38" s="6" t="n">
        <v>4</v>
      </c>
      <c r="F38" s="6"/>
      <c r="G38" s="6" t="n">
        <f aca="false">COUNTIF('365-Day Plan (2h)'!O233:O239,"Y")</f>
        <v>0</v>
      </c>
      <c r="H38" s="7" t="n">
        <f aca="false">G38/7</f>
        <v>0</v>
      </c>
    </row>
    <row r="39" customFormat="false" ht="15" hidden="false" customHeight="false" outlineLevel="0" collapsed="false">
      <c r="A39" s="6" t="n">
        <v>35</v>
      </c>
      <c r="B39" s="6" t="s">
        <v>91</v>
      </c>
      <c r="C39" s="6" t="s">
        <v>87</v>
      </c>
      <c r="D39" s="6" t="s">
        <v>92</v>
      </c>
      <c r="E39" s="6" t="n">
        <v>4</v>
      </c>
      <c r="F39" s="6"/>
      <c r="G39" s="6" t="n">
        <f aca="false">COUNTIF('365-Day Plan (2h)'!O240:O246,"Y")</f>
        <v>0</v>
      </c>
      <c r="H39" s="7" t="n">
        <f aca="false">G39/7</f>
        <v>0</v>
      </c>
    </row>
    <row r="40" customFormat="false" ht="15" hidden="false" customHeight="false" outlineLevel="0" collapsed="false">
      <c r="A40" s="6" t="n">
        <v>36</v>
      </c>
      <c r="B40" s="6" t="s">
        <v>93</v>
      </c>
      <c r="C40" s="6" t="s">
        <v>94</v>
      </c>
      <c r="D40" s="6" t="s">
        <v>95</v>
      </c>
      <c r="E40" s="6" t="n">
        <v>3</v>
      </c>
      <c r="F40" s="6"/>
      <c r="G40" s="6" t="n">
        <f aca="false">COUNTIF('365-Day Plan (2h)'!O247:O253,"Y")</f>
        <v>0</v>
      </c>
      <c r="H40" s="7" t="n">
        <f aca="false">G40/7</f>
        <v>0</v>
      </c>
    </row>
    <row r="41" customFormat="false" ht="15" hidden="false" customHeight="false" outlineLevel="0" collapsed="false">
      <c r="A41" s="6" t="n">
        <v>37</v>
      </c>
      <c r="B41" s="6" t="s">
        <v>96</v>
      </c>
      <c r="C41" s="6" t="s">
        <v>94</v>
      </c>
      <c r="D41" s="6" t="s">
        <v>97</v>
      </c>
      <c r="E41" s="6" t="n">
        <v>4</v>
      </c>
      <c r="F41" s="6"/>
      <c r="G41" s="6" t="n">
        <f aca="false">COUNTIF('365-Day Plan (2h)'!O254:O260,"Y")</f>
        <v>0</v>
      </c>
      <c r="H41" s="7" t="n">
        <f aca="false">G41/7</f>
        <v>0</v>
      </c>
    </row>
    <row r="42" customFormat="false" ht="15" hidden="false" customHeight="false" outlineLevel="0" collapsed="false">
      <c r="A42" s="6" t="n">
        <v>38</v>
      </c>
      <c r="B42" s="6" t="s">
        <v>98</v>
      </c>
      <c r="C42" s="6" t="s">
        <v>94</v>
      </c>
      <c r="D42" s="6" t="s">
        <v>99</v>
      </c>
      <c r="E42" s="6" t="n">
        <v>4</v>
      </c>
      <c r="F42" s="6"/>
      <c r="G42" s="6" t="n">
        <f aca="false">COUNTIF('365-Day Plan (2h)'!O261:O267,"Y")</f>
        <v>0</v>
      </c>
      <c r="H42" s="7" t="n">
        <f aca="false">G42/7</f>
        <v>0</v>
      </c>
    </row>
    <row r="43" customFormat="false" ht="15" hidden="false" customHeight="false" outlineLevel="0" collapsed="false">
      <c r="A43" s="6" t="n">
        <v>39</v>
      </c>
      <c r="B43" s="6" t="s">
        <v>100</v>
      </c>
      <c r="C43" s="6" t="s">
        <v>94</v>
      </c>
      <c r="D43" s="6" t="s">
        <v>101</v>
      </c>
      <c r="E43" s="6" t="n">
        <v>4</v>
      </c>
      <c r="F43" s="6"/>
      <c r="G43" s="6" t="n">
        <f aca="false">COUNTIF('365-Day Plan (2h)'!O268:O274,"Y")</f>
        <v>0</v>
      </c>
      <c r="H43" s="7" t="n">
        <f aca="false">G43/7</f>
        <v>0</v>
      </c>
    </row>
    <row r="44" customFormat="false" ht="15" hidden="false" customHeight="false" outlineLevel="0" collapsed="false">
      <c r="A44" s="4" t="n">
        <v>40</v>
      </c>
      <c r="B44" s="4" t="s">
        <v>102</v>
      </c>
      <c r="C44" s="4" t="s">
        <v>94</v>
      </c>
      <c r="D44" s="4" t="s">
        <v>103</v>
      </c>
      <c r="E44" s="4" t="n">
        <v>4</v>
      </c>
      <c r="F44" s="4" t="s">
        <v>104</v>
      </c>
      <c r="G44" s="4" t="n">
        <f aca="false">COUNTIF('365-Day Plan (2h)'!O275:O281,"Y")</f>
        <v>0</v>
      </c>
      <c r="H44" s="5" t="n">
        <f aca="false">G44/7</f>
        <v>0</v>
      </c>
    </row>
    <row r="45" customFormat="false" ht="15" hidden="false" customHeight="false" outlineLevel="0" collapsed="false">
      <c r="A45" s="6" t="n">
        <v>41</v>
      </c>
      <c r="B45" s="6" t="s">
        <v>105</v>
      </c>
      <c r="C45" s="6" t="s">
        <v>106</v>
      </c>
      <c r="D45" s="6" t="s">
        <v>107</v>
      </c>
      <c r="E45" s="6" t="n">
        <v>4</v>
      </c>
      <c r="F45" s="6"/>
      <c r="G45" s="6" t="n">
        <f aca="false">COUNTIF('365-Day Plan (2h)'!O282:O288,"Y")</f>
        <v>0</v>
      </c>
      <c r="H45" s="7" t="n">
        <f aca="false">G45/7</f>
        <v>0</v>
      </c>
    </row>
    <row r="46" customFormat="false" ht="15" hidden="false" customHeight="false" outlineLevel="0" collapsed="false">
      <c r="A46" s="6" t="n">
        <v>42</v>
      </c>
      <c r="B46" s="6" t="s">
        <v>108</v>
      </c>
      <c r="C46" s="6" t="s">
        <v>106</v>
      </c>
      <c r="D46" s="6" t="s">
        <v>109</v>
      </c>
      <c r="E46" s="6" t="n">
        <v>4</v>
      </c>
      <c r="F46" s="6"/>
      <c r="G46" s="6" t="n">
        <f aca="false">COUNTIF('365-Day Plan (2h)'!O289:O295,"Y")</f>
        <v>0</v>
      </c>
      <c r="H46" s="7" t="n">
        <f aca="false">G46/7</f>
        <v>0</v>
      </c>
    </row>
    <row r="47" customFormat="false" ht="15" hidden="false" customHeight="false" outlineLevel="0" collapsed="false">
      <c r="A47" s="6" t="n">
        <v>43</v>
      </c>
      <c r="B47" s="6" t="s">
        <v>110</v>
      </c>
      <c r="C47" s="6" t="s">
        <v>111</v>
      </c>
      <c r="D47" s="6" t="s">
        <v>112</v>
      </c>
      <c r="E47" s="6" t="n">
        <v>3</v>
      </c>
      <c r="F47" s="6"/>
      <c r="G47" s="6" t="n">
        <f aca="false">COUNTIF('365-Day Plan (2h)'!O296:O302,"Y")</f>
        <v>0</v>
      </c>
      <c r="H47" s="7" t="n">
        <f aca="false">G47/7</f>
        <v>0</v>
      </c>
    </row>
    <row r="48" customFormat="false" ht="15" hidden="false" customHeight="false" outlineLevel="0" collapsed="false">
      <c r="A48" s="6" t="n">
        <v>44</v>
      </c>
      <c r="B48" s="6" t="s">
        <v>113</v>
      </c>
      <c r="C48" s="6" t="s">
        <v>111</v>
      </c>
      <c r="D48" s="6" t="s">
        <v>114</v>
      </c>
      <c r="E48" s="6" t="n">
        <v>3</v>
      </c>
      <c r="F48" s="6"/>
      <c r="G48" s="6" t="n">
        <f aca="false">COUNTIF('365-Day Plan (2h)'!O303:O309,"Y")</f>
        <v>0</v>
      </c>
      <c r="H48" s="7" t="n">
        <f aca="false">G48/7</f>
        <v>0</v>
      </c>
    </row>
    <row r="49" customFormat="false" ht="15" hidden="false" customHeight="false" outlineLevel="0" collapsed="false">
      <c r="A49" s="6" t="n">
        <v>45</v>
      </c>
      <c r="B49" s="6" t="s">
        <v>115</v>
      </c>
      <c r="C49" s="6" t="s">
        <v>111</v>
      </c>
      <c r="D49" s="6" t="s">
        <v>116</v>
      </c>
      <c r="E49" s="6" t="n">
        <v>3</v>
      </c>
      <c r="F49" s="6"/>
      <c r="G49" s="6" t="n">
        <f aca="false">COUNTIF('365-Day Plan (2h)'!O310:O316,"Y")</f>
        <v>0</v>
      </c>
      <c r="H49" s="7" t="n">
        <f aca="false">G49/7</f>
        <v>0</v>
      </c>
    </row>
    <row r="50" customFormat="false" ht="15" hidden="false" customHeight="false" outlineLevel="0" collapsed="false">
      <c r="A50" s="6" t="n">
        <v>46</v>
      </c>
      <c r="B50" s="6" t="s">
        <v>117</v>
      </c>
      <c r="C50" s="6" t="s">
        <v>111</v>
      </c>
      <c r="D50" s="6" t="s">
        <v>118</v>
      </c>
      <c r="E50" s="6" t="n">
        <v>4</v>
      </c>
      <c r="F50" s="6"/>
      <c r="G50" s="6" t="n">
        <f aca="false">COUNTIF('365-Day Plan (2h)'!O317:O323,"Y")</f>
        <v>0</v>
      </c>
      <c r="H50" s="7" t="n">
        <f aca="false">G50/7</f>
        <v>0</v>
      </c>
    </row>
    <row r="51" customFormat="false" ht="15" hidden="false" customHeight="false" outlineLevel="0" collapsed="false">
      <c r="A51" s="6" t="n">
        <v>47</v>
      </c>
      <c r="B51" s="6" t="s">
        <v>119</v>
      </c>
      <c r="C51" s="6" t="s">
        <v>111</v>
      </c>
      <c r="D51" s="6" t="s">
        <v>120</v>
      </c>
      <c r="E51" s="6" t="n">
        <v>5</v>
      </c>
      <c r="F51" s="6"/>
      <c r="G51" s="6" t="n">
        <f aca="false">COUNTIF('365-Day Plan (2h)'!O324:O330,"Y")</f>
        <v>0</v>
      </c>
      <c r="H51" s="7" t="n">
        <f aca="false">G51/7</f>
        <v>0</v>
      </c>
    </row>
    <row r="52" customFormat="false" ht="15" hidden="false" customHeight="false" outlineLevel="0" collapsed="false">
      <c r="A52" s="4" t="n">
        <v>48</v>
      </c>
      <c r="B52" s="4" t="s">
        <v>121</v>
      </c>
      <c r="C52" s="4" t="s">
        <v>111</v>
      </c>
      <c r="D52" s="4" t="s">
        <v>122</v>
      </c>
      <c r="E52" s="4" t="n">
        <v>5</v>
      </c>
      <c r="F52" s="4" t="s">
        <v>123</v>
      </c>
      <c r="G52" s="4" t="n">
        <f aca="false">COUNTIF('365-Day Plan (2h)'!O331:O337,"Y")</f>
        <v>0</v>
      </c>
      <c r="H52" s="5" t="n">
        <f aca="false">G52/7</f>
        <v>0</v>
      </c>
    </row>
    <row r="53" customFormat="false" ht="15" hidden="false" customHeight="false" outlineLevel="0" collapsed="false">
      <c r="A53" s="6" t="n">
        <v>49</v>
      </c>
      <c r="B53" s="6" t="s">
        <v>124</v>
      </c>
      <c r="C53" s="6" t="s">
        <v>125</v>
      </c>
      <c r="D53" s="6" t="s">
        <v>126</v>
      </c>
      <c r="E53" s="6" t="n">
        <v>4</v>
      </c>
      <c r="F53" s="6"/>
      <c r="G53" s="6" t="n">
        <f aca="false">COUNTIF('365-Day Plan (2h)'!O338:O344,"Y")</f>
        <v>0</v>
      </c>
      <c r="H53" s="7" t="n">
        <f aca="false">G53/7</f>
        <v>0</v>
      </c>
    </row>
    <row r="54" customFormat="false" ht="15" hidden="false" customHeight="false" outlineLevel="0" collapsed="false">
      <c r="A54" s="6" t="n">
        <v>50</v>
      </c>
      <c r="B54" s="6" t="s">
        <v>127</v>
      </c>
      <c r="C54" s="6" t="s">
        <v>125</v>
      </c>
      <c r="D54" s="6" t="s">
        <v>128</v>
      </c>
      <c r="E54" s="6" t="n">
        <v>4</v>
      </c>
      <c r="F54" s="6"/>
      <c r="G54" s="6" t="n">
        <f aca="false">COUNTIF('365-Day Plan (2h)'!O345:O351,"Y")</f>
        <v>0</v>
      </c>
      <c r="H54" s="7" t="n">
        <f aca="false">G54/7</f>
        <v>0</v>
      </c>
    </row>
    <row r="55" customFormat="false" ht="15" hidden="false" customHeight="false" outlineLevel="0" collapsed="false">
      <c r="A55" s="6" t="n">
        <v>51</v>
      </c>
      <c r="B55" s="6" t="s">
        <v>129</v>
      </c>
      <c r="C55" s="6" t="s">
        <v>130</v>
      </c>
      <c r="D55" s="6" t="s">
        <v>131</v>
      </c>
      <c r="E55" s="6" t="n">
        <v>4</v>
      </c>
      <c r="F55" s="6"/>
      <c r="G55" s="6" t="n">
        <f aca="false">COUNTIF('365-Day Plan (2h)'!O352:O358,"Y")</f>
        <v>0</v>
      </c>
      <c r="H55" s="7" t="n">
        <f aca="false">G55/7</f>
        <v>0</v>
      </c>
    </row>
    <row r="56" customFormat="false" ht="15" hidden="false" customHeight="false" outlineLevel="0" collapsed="false">
      <c r="A56" s="4" t="n">
        <v>52</v>
      </c>
      <c r="B56" s="4" t="s">
        <v>132</v>
      </c>
      <c r="C56" s="4" t="s">
        <v>133</v>
      </c>
      <c r="D56" s="4" t="s">
        <v>134</v>
      </c>
      <c r="E56" s="4" t="n">
        <v>5</v>
      </c>
      <c r="F56" s="4" t="s">
        <v>135</v>
      </c>
      <c r="G56" s="4" t="n">
        <f aca="false">COUNTIF('365-Day Plan (2h)'!O359:O365,"Y")</f>
        <v>0</v>
      </c>
      <c r="H56" s="5" t="n">
        <f aca="false">G56/7</f>
        <v>0</v>
      </c>
    </row>
    <row r="57" customFormat="false" ht="15" hidden="false" customHeight="false" outlineLevel="0" collapsed="false">
      <c r="A57" s="8" t="s">
        <v>136</v>
      </c>
      <c r="B57" s="8"/>
      <c r="C57" s="8"/>
      <c r="D57" s="8"/>
      <c r="E57" s="8"/>
      <c r="F57" s="8"/>
      <c r="G57" s="8" t="n">
        <f aca="false">SUM(G5:G56)+COUNTIF('365-Day Plan (2h)'!O366:O366,"Y")</f>
        <v>0</v>
      </c>
      <c r="H57" s="9" t="n">
        <f aca="false">G57/365</f>
        <v>0</v>
      </c>
    </row>
    <row r="59" customFormat="false" ht="15" hidden="false" customHeight="true" outlineLevel="0" collapsed="false">
      <c r="A59" s="10" t="s">
        <v>137</v>
      </c>
      <c r="B59" s="10"/>
      <c r="C59" s="10"/>
      <c r="D59" s="10"/>
      <c r="E59" s="10"/>
      <c r="F59" s="10"/>
      <c r="G59" s="10"/>
      <c r="H59" s="10"/>
    </row>
    <row r="60" customFormat="false" ht="15" hidden="false" customHeight="true" outlineLevel="0" collapsed="false">
      <c r="A60" s="11" t="s">
        <v>138</v>
      </c>
      <c r="B60" s="11"/>
      <c r="C60" s="11"/>
      <c r="D60" s="11"/>
      <c r="E60" s="11"/>
      <c r="F60" s="11"/>
      <c r="G60" s="11"/>
      <c r="H60" s="11"/>
    </row>
    <row r="61" customFormat="false" ht="15" hidden="false" customHeight="true" outlineLevel="0" collapsed="false">
      <c r="A61" s="11" t="s">
        <v>139</v>
      </c>
      <c r="B61" s="11"/>
      <c r="C61" s="11"/>
      <c r="D61" s="11"/>
      <c r="E61" s="11"/>
      <c r="F61" s="11"/>
      <c r="G61" s="11"/>
      <c r="H61" s="11"/>
    </row>
    <row r="62" customFormat="false" ht="23.85" hidden="false" customHeight="true" outlineLevel="0" collapsed="false">
      <c r="A62" s="11" t="s">
        <v>140</v>
      </c>
      <c r="B62" s="11"/>
      <c r="C62" s="11"/>
      <c r="D62" s="11"/>
      <c r="E62" s="11"/>
      <c r="F62" s="11"/>
      <c r="G62" s="11"/>
      <c r="H62" s="11"/>
    </row>
    <row r="63" customFormat="false" ht="23.85" hidden="false" customHeight="true" outlineLevel="0" collapsed="false">
      <c r="A63" s="11" t="s">
        <v>141</v>
      </c>
      <c r="B63" s="11"/>
      <c r="C63" s="11"/>
      <c r="D63" s="11"/>
      <c r="E63" s="11"/>
      <c r="F63" s="11"/>
      <c r="G63" s="11"/>
      <c r="H63" s="11"/>
    </row>
    <row r="64" customFormat="false" ht="23.85" hidden="false" customHeight="true" outlineLevel="0" collapsed="false">
      <c r="A64" s="11" t="s">
        <v>142</v>
      </c>
      <c r="B64" s="11"/>
      <c r="C64" s="11"/>
      <c r="D64" s="11"/>
      <c r="E64" s="11"/>
      <c r="F64" s="11"/>
      <c r="G64" s="11"/>
      <c r="H64" s="11"/>
    </row>
    <row r="65" customFormat="false" ht="15" hidden="false" customHeight="true" outlineLevel="0" collapsed="false">
      <c r="A65" s="11" t="s">
        <v>143</v>
      </c>
      <c r="B65" s="11"/>
      <c r="C65" s="11"/>
      <c r="D65" s="11"/>
      <c r="E65" s="11"/>
      <c r="F65" s="11"/>
      <c r="G65" s="11"/>
      <c r="H65" s="11"/>
    </row>
  </sheetData>
  <mergeCells count="8">
    <mergeCell ref="A2:H2"/>
    <mergeCell ref="A59:H59"/>
    <mergeCell ref="A60:H60"/>
    <mergeCell ref="A61:H61"/>
    <mergeCell ref="A62:H62"/>
    <mergeCell ref="A63:H63"/>
    <mergeCell ref="A64:H64"/>
    <mergeCell ref="A65:H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11"/>
    <col collapsed="false" customWidth="true" hidden="false" outlineLevel="0" max="9" min="9" style="0" width="36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8"/>
  </cols>
  <sheetData>
    <row r="1" customFormat="false" ht="46.25" hidden="false" customHeight="false" outlineLevel="0" collapsed="false">
      <c r="A1" s="3" t="s">
        <v>144</v>
      </c>
      <c r="B1" s="3" t="s">
        <v>145</v>
      </c>
      <c r="C1" s="3" t="s">
        <v>2</v>
      </c>
      <c r="D1" s="3" t="s">
        <v>4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  <c r="M1" s="3" t="s">
        <v>6</v>
      </c>
      <c r="N1" s="3" t="s">
        <v>7</v>
      </c>
      <c r="O1" s="3" t="s">
        <v>154</v>
      </c>
    </row>
    <row r="2" customFormat="false" ht="22.35" hidden="false" customHeight="false" outlineLevel="0" collapsed="false">
      <c r="A2" s="6" t="n">
        <v>1</v>
      </c>
      <c r="B2" s="12" t="n">
        <v>46272</v>
      </c>
      <c r="C2" s="6" t="n">
        <v>1</v>
      </c>
      <c r="D2" s="6" t="s">
        <v>11</v>
      </c>
      <c r="E2" s="6" t="s">
        <v>155</v>
      </c>
      <c r="F2" s="6" t="s">
        <v>156</v>
      </c>
      <c r="G2" s="6" t="s">
        <v>157</v>
      </c>
      <c r="H2" s="6" t="s">
        <v>158</v>
      </c>
      <c r="I2" s="6" t="s">
        <v>159</v>
      </c>
      <c r="J2" s="6" t="s">
        <v>160</v>
      </c>
      <c r="K2" s="6" t="s">
        <v>161</v>
      </c>
      <c r="L2" s="6" t="s">
        <v>162</v>
      </c>
      <c r="M2" s="6" t="n">
        <v>2</v>
      </c>
      <c r="N2" s="6"/>
      <c r="O2" s="6"/>
    </row>
    <row r="3" customFormat="false" ht="22.35" hidden="false" customHeight="false" outlineLevel="0" collapsed="false">
      <c r="A3" s="6" t="n">
        <v>2</v>
      </c>
      <c r="B3" s="12" t="n">
        <v>46273</v>
      </c>
      <c r="C3" s="6" t="n">
        <v>1</v>
      </c>
      <c r="D3" s="6" t="s">
        <v>11</v>
      </c>
      <c r="E3" s="6" t="s">
        <v>163</v>
      </c>
      <c r="F3" s="6" t="s">
        <v>164</v>
      </c>
      <c r="G3" s="6" t="s">
        <v>165</v>
      </c>
      <c r="H3" s="6" t="s">
        <v>166</v>
      </c>
      <c r="I3" s="6" t="s">
        <v>167</v>
      </c>
      <c r="J3" s="6" t="s">
        <v>168</v>
      </c>
      <c r="K3" s="6" t="s">
        <v>169</v>
      </c>
      <c r="L3" s="6" t="s">
        <v>170</v>
      </c>
      <c r="M3" s="6" t="n">
        <v>2</v>
      </c>
      <c r="N3" s="6"/>
      <c r="O3" s="6"/>
    </row>
    <row r="4" customFormat="false" ht="22.35" hidden="false" customHeight="false" outlineLevel="0" collapsed="false">
      <c r="A4" s="6" t="n">
        <v>3</v>
      </c>
      <c r="B4" s="12" t="n">
        <v>46274</v>
      </c>
      <c r="C4" s="6" t="n">
        <v>1</v>
      </c>
      <c r="D4" s="6" t="s">
        <v>11</v>
      </c>
      <c r="E4" s="6" t="s">
        <v>171</v>
      </c>
      <c r="F4" s="6" t="s">
        <v>172</v>
      </c>
      <c r="G4" s="6" t="s">
        <v>173</v>
      </c>
      <c r="H4" s="6" t="s">
        <v>174</v>
      </c>
      <c r="I4" s="6" t="s">
        <v>175</v>
      </c>
      <c r="J4" s="6" t="s">
        <v>176</v>
      </c>
      <c r="K4" s="6" t="s">
        <v>177</v>
      </c>
      <c r="L4" s="6" t="s">
        <v>178</v>
      </c>
      <c r="M4" s="6" t="n">
        <v>2</v>
      </c>
      <c r="N4" s="6"/>
      <c r="O4" s="6"/>
    </row>
    <row r="5" customFormat="false" ht="22.35" hidden="false" customHeight="false" outlineLevel="0" collapsed="false">
      <c r="A5" s="6" t="n">
        <v>4</v>
      </c>
      <c r="B5" s="12" t="n">
        <v>46275</v>
      </c>
      <c r="C5" s="6" t="n">
        <v>1</v>
      </c>
      <c r="D5" s="6" t="s">
        <v>11</v>
      </c>
      <c r="E5" s="6" t="s">
        <v>179</v>
      </c>
      <c r="F5" s="6" t="s">
        <v>180</v>
      </c>
      <c r="G5" s="6" t="s">
        <v>173</v>
      </c>
      <c r="H5" s="6" t="s">
        <v>181</v>
      </c>
      <c r="I5" s="6" t="s">
        <v>182</v>
      </c>
      <c r="J5" s="6" t="s">
        <v>183</v>
      </c>
      <c r="K5" s="6" t="s">
        <v>184</v>
      </c>
      <c r="L5" s="6" t="s">
        <v>185</v>
      </c>
      <c r="M5" s="6" t="n">
        <v>2</v>
      </c>
      <c r="N5" s="6"/>
      <c r="O5" s="6"/>
    </row>
    <row r="6" customFormat="false" ht="22.35" hidden="false" customHeight="false" outlineLevel="0" collapsed="false">
      <c r="A6" s="6" t="n">
        <v>5</v>
      </c>
      <c r="B6" s="12" t="n">
        <v>46276</v>
      </c>
      <c r="C6" s="6" t="n">
        <v>1</v>
      </c>
      <c r="D6" s="6" t="s">
        <v>11</v>
      </c>
      <c r="E6" s="6" t="s">
        <v>186</v>
      </c>
      <c r="F6" s="6" t="s">
        <v>187</v>
      </c>
      <c r="G6" s="6" t="s">
        <v>188</v>
      </c>
      <c r="H6" s="6" t="s">
        <v>189</v>
      </c>
      <c r="I6" s="6" t="s">
        <v>190</v>
      </c>
      <c r="J6" s="6" t="s">
        <v>191</v>
      </c>
      <c r="K6" s="6" t="s">
        <v>192</v>
      </c>
      <c r="L6" s="6" t="s">
        <v>193</v>
      </c>
      <c r="M6" s="6" t="n">
        <v>2</v>
      </c>
      <c r="N6" s="6"/>
      <c r="O6" s="6"/>
    </row>
    <row r="7" customFormat="false" ht="32.8" hidden="false" customHeight="false" outlineLevel="0" collapsed="false">
      <c r="A7" s="6" t="n">
        <v>6</v>
      </c>
      <c r="B7" s="12" t="n">
        <v>46277</v>
      </c>
      <c r="C7" s="6" t="n">
        <v>1</v>
      </c>
      <c r="D7" s="6" t="s">
        <v>11</v>
      </c>
      <c r="E7" s="6" t="s">
        <v>194</v>
      </c>
      <c r="F7" s="6" t="s">
        <v>195</v>
      </c>
      <c r="G7" s="6" t="s">
        <v>196</v>
      </c>
      <c r="H7" s="6" t="s">
        <v>158</v>
      </c>
      <c r="I7" s="6" t="s">
        <v>159</v>
      </c>
      <c r="J7" s="6" t="s">
        <v>197</v>
      </c>
      <c r="K7" s="6" t="s">
        <v>198</v>
      </c>
      <c r="L7" s="6" t="s">
        <v>199</v>
      </c>
      <c r="M7" s="6" t="n">
        <v>2</v>
      </c>
      <c r="N7" s="6"/>
      <c r="O7" s="6"/>
    </row>
    <row r="8" customFormat="false" ht="74.6" hidden="false" customHeight="false" outlineLevel="0" collapsed="false">
      <c r="A8" s="4" t="n">
        <v>7</v>
      </c>
      <c r="B8" s="13" t="n">
        <v>46278</v>
      </c>
      <c r="C8" s="4" t="n">
        <v>1</v>
      </c>
      <c r="D8" s="4" t="s">
        <v>11</v>
      </c>
      <c r="E8" s="4" t="s">
        <v>200</v>
      </c>
      <c r="F8" s="4" t="s">
        <v>201</v>
      </c>
      <c r="G8" s="4" t="s">
        <v>202</v>
      </c>
      <c r="H8" s="4" t="s">
        <v>181</v>
      </c>
      <c r="I8" s="4" t="s">
        <v>182</v>
      </c>
      <c r="J8" s="4" t="s">
        <v>203</v>
      </c>
      <c r="K8" s="4" t="s">
        <v>201</v>
      </c>
      <c r="L8" s="4" t="s">
        <v>204</v>
      </c>
      <c r="M8" s="4" t="n">
        <v>2</v>
      </c>
      <c r="N8" s="4" t="s">
        <v>13</v>
      </c>
      <c r="O8" s="4"/>
    </row>
    <row r="9" customFormat="false" ht="22.35" hidden="false" customHeight="false" outlineLevel="0" collapsed="false">
      <c r="A9" s="6" t="n">
        <v>8</v>
      </c>
      <c r="B9" s="12" t="n">
        <v>46279</v>
      </c>
      <c r="C9" s="6" t="n">
        <v>2</v>
      </c>
      <c r="D9" s="6" t="s">
        <v>15</v>
      </c>
      <c r="E9" s="6" t="s">
        <v>205</v>
      </c>
      <c r="F9" s="6" t="s">
        <v>206</v>
      </c>
      <c r="G9" s="6" t="s">
        <v>207</v>
      </c>
      <c r="H9" s="6" t="s">
        <v>166</v>
      </c>
      <c r="I9" s="6" t="s">
        <v>167</v>
      </c>
      <c r="J9" s="6" t="s">
        <v>208</v>
      </c>
      <c r="K9" s="6" t="s">
        <v>209</v>
      </c>
      <c r="L9" s="6" t="s">
        <v>210</v>
      </c>
      <c r="M9" s="6" t="n">
        <v>3</v>
      </c>
      <c r="N9" s="6"/>
      <c r="O9" s="6"/>
    </row>
    <row r="10" customFormat="false" ht="22.35" hidden="false" customHeight="false" outlineLevel="0" collapsed="false">
      <c r="A10" s="6" t="n">
        <v>9</v>
      </c>
      <c r="B10" s="12" t="n">
        <v>46280</v>
      </c>
      <c r="C10" s="6" t="n">
        <v>2</v>
      </c>
      <c r="D10" s="6" t="s">
        <v>15</v>
      </c>
      <c r="E10" s="6" t="s">
        <v>211</v>
      </c>
      <c r="F10" s="6" t="s">
        <v>212</v>
      </c>
      <c r="G10" s="6" t="s">
        <v>213</v>
      </c>
      <c r="H10" s="6" t="s">
        <v>166</v>
      </c>
      <c r="I10" s="6" t="s">
        <v>167</v>
      </c>
      <c r="J10" s="6" t="s">
        <v>214</v>
      </c>
      <c r="K10" s="6" t="s">
        <v>215</v>
      </c>
      <c r="L10" s="6" t="s">
        <v>216</v>
      </c>
      <c r="M10" s="6" t="n">
        <v>3</v>
      </c>
      <c r="N10" s="6"/>
      <c r="O10" s="6"/>
    </row>
    <row r="11" customFormat="false" ht="22.35" hidden="false" customHeight="false" outlineLevel="0" collapsed="false">
      <c r="A11" s="6" t="n">
        <v>10</v>
      </c>
      <c r="B11" s="12" t="n">
        <v>46281</v>
      </c>
      <c r="C11" s="6" t="n">
        <v>2</v>
      </c>
      <c r="D11" s="6" t="s">
        <v>15</v>
      </c>
      <c r="E11" s="6" t="s">
        <v>217</v>
      </c>
      <c r="F11" s="6" t="s">
        <v>218</v>
      </c>
      <c r="G11" s="6" t="s">
        <v>219</v>
      </c>
      <c r="H11" s="6" t="s">
        <v>166</v>
      </c>
      <c r="I11" s="6" t="s">
        <v>167</v>
      </c>
      <c r="J11" s="6" t="s">
        <v>220</v>
      </c>
      <c r="K11" s="6" t="s">
        <v>221</v>
      </c>
      <c r="L11" s="6" t="s">
        <v>222</v>
      </c>
      <c r="M11" s="6" t="n">
        <v>3</v>
      </c>
      <c r="N11" s="6"/>
      <c r="O11" s="6"/>
    </row>
    <row r="12" customFormat="false" ht="22.35" hidden="false" customHeight="false" outlineLevel="0" collapsed="false">
      <c r="A12" s="6" t="n">
        <v>11</v>
      </c>
      <c r="B12" s="12" t="n">
        <v>46282</v>
      </c>
      <c r="C12" s="6" t="n">
        <v>2</v>
      </c>
      <c r="D12" s="6" t="s">
        <v>15</v>
      </c>
      <c r="E12" s="6" t="s">
        <v>223</v>
      </c>
      <c r="F12" s="6" t="s">
        <v>224</v>
      </c>
      <c r="G12" s="6" t="s">
        <v>225</v>
      </c>
      <c r="H12" s="6" t="s">
        <v>166</v>
      </c>
      <c r="I12" s="6" t="s">
        <v>167</v>
      </c>
      <c r="J12" s="6" t="s">
        <v>226</v>
      </c>
      <c r="K12" s="6" t="s">
        <v>227</v>
      </c>
      <c r="L12" s="6" t="s">
        <v>228</v>
      </c>
      <c r="M12" s="6" t="n">
        <v>3</v>
      </c>
      <c r="N12" s="6"/>
      <c r="O12" s="6"/>
    </row>
    <row r="13" customFormat="false" ht="22.35" hidden="false" customHeight="false" outlineLevel="0" collapsed="false">
      <c r="A13" s="6" t="n">
        <v>12</v>
      </c>
      <c r="B13" s="12" t="n">
        <v>46283</v>
      </c>
      <c r="C13" s="6" t="n">
        <v>2</v>
      </c>
      <c r="D13" s="6" t="s">
        <v>15</v>
      </c>
      <c r="E13" s="6" t="s">
        <v>229</v>
      </c>
      <c r="F13" s="6" t="s">
        <v>230</v>
      </c>
      <c r="G13" s="6" t="s">
        <v>231</v>
      </c>
      <c r="H13" s="6" t="s">
        <v>166</v>
      </c>
      <c r="I13" s="6" t="s">
        <v>167</v>
      </c>
      <c r="J13" s="6" t="s">
        <v>232</v>
      </c>
      <c r="K13" s="6" t="s">
        <v>233</v>
      </c>
      <c r="L13" s="6" t="s">
        <v>216</v>
      </c>
      <c r="M13" s="6" t="n">
        <v>3</v>
      </c>
      <c r="N13" s="6"/>
      <c r="O13" s="6"/>
    </row>
    <row r="14" customFormat="false" ht="22.35" hidden="false" customHeight="false" outlineLevel="0" collapsed="false">
      <c r="A14" s="6" t="n">
        <v>13</v>
      </c>
      <c r="B14" s="12" t="n">
        <v>46284</v>
      </c>
      <c r="C14" s="6" t="n">
        <v>2</v>
      </c>
      <c r="D14" s="6" t="s">
        <v>15</v>
      </c>
      <c r="E14" s="6" t="s">
        <v>234</v>
      </c>
      <c r="F14" s="6" t="s">
        <v>235</v>
      </c>
      <c r="G14" s="6" t="s">
        <v>236</v>
      </c>
      <c r="H14" s="6" t="s">
        <v>166</v>
      </c>
      <c r="I14" s="6" t="s">
        <v>167</v>
      </c>
      <c r="J14" s="6" t="s">
        <v>237</v>
      </c>
      <c r="K14" s="6" t="s">
        <v>238</v>
      </c>
      <c r="L14" s="6" t="s">
        <v>239</v>
      </c>
      <c r="M14" s="6" t="n">
        <v>3</v>
      </c>
      <c r="N14" s="6"/>
      <c r="O14" s="6"/>
    </row>
    <row r="15" customFormat="false" ht="74.6" hidden="false" customHeight="false" outlineLevel="0" collapsed="false">
      <c r="A15" s="14" t="n">
        <v>14</v>
      </c>
      <c r="B15" s="15" t="n">
        <v>46285</v>
      </c>
      <c r="C15" s="14" t="n">
        <v>2</v>
      </c>
      <c r="D15" s="14" t="s">
        <v>15</v>
      </c>
      <c r="E15" s="14" t="s">
        <v>240</v>
      </c>
      <c r="F15" s="14" t="s">
        <v>201</v>
      </c>
      <c r="G15" s="14" t="s">
        <v>202</v>
      </c>
      <c r="H15" s="14" t="s">
        <v>181</v>
      </c>
      <c r="I15" s="14" t="s">
        <v>182</v>
      </c>
      <c r="J15" s="14" t="s">
        <v>241</v>
      </c>
      <c r="K15" s="14" t="s">
        <v>201</v>
      </c>
      <c r="L15" s="14" t="s">
        <v>204</v>
      </c>
      <c r="M15" s="14" t="n">
        <v>3</v>
      </c>
      <c r="N15" s="14"/>
      <c r="O15" s="14"/>
    </row>
    <row r="16" customFormat="false" ht="22.35" hidden="false" customHeight="false" outlineLevel="0" collapsed="false">
      <c r="A16" s="6" t="n">
        <v>15</v>
      </c>
      <c r="B16" s="12" t="n">
        <v>46286</v>
      </c>
      <c r="C16" s="6" t="n">
        <v>3</v>
      </c>
      <c r="D16" s="6" t="s">
        <v>15</v>
      </c>
      <c r="E16" s="6" t="s">
        <v>242</v>
      </c>
      <c r="F16" s="6" t="s">
        <v>243</v>
      </c>
      <c r="G16" s="6" t="s">
        <v>244</v>
      </c>
      <c r="H16" s="6" t="s">
        <v>166</v>
      </c>
      <c r="I16" s="6" t="s">
        <v>167</v>
      </c>
      <c r="J16" s="6" t="s">
        <v>245</v>
      </c>
      <c r="K16" s="6" t="s">
        <v>246</v>
      </c>
      <c r="L16" s="6" t="s">
        <v>222</v>
      </c>
      <c r="M16" s="6" t="n">
        <v>4</v>
      </c>
      <c r="N16" s="6"/>
      <c r="O16" s="6"/>
    </row>
    <row r="17" customFormat="false" ht="32.8" hidden="false" customHeight="false" outlineLevel="0" collapsed="false">
      <c r="A17" s="6" t="n">
        <v>16</v>
      </c>
      <c r="B17" s="12" t="n">
        <v>46287</v>
      </c>
      <c r="C17" s="6" t="n">
        <v>3</v>
      </c>
      <c r="D17" s="6" t="s">
        <v>15</v>
      </c>
      <c r="E17" s="6" t="s">
        <v>247</v>
      </c>
      <c r="F17" s="6" t="s">
        <v>248</v>
      </c>
      <c r="G17" s="6" t="s">
        <v>249</v>
      </c>
      <c r="H17" s="6" t="s">
        <v>166</v>
      </c>
      <c r="I17" s="6" t="s">
        <v>167</v>
      </c>
      <c r="J17" s="6" t="s">
        <v>250</v>
      </c>
      <c r="K17" s="6" t="s">
        <v>251</v>
      </c>
      <c r="L17" s="6" t="s">
        <v>252</v>
      </c>
      <c r="M17" s="6" t="n">
        <v>4</v>
      </c>
      <c r="N17" s="6"/>
      <c r="O17" s="6"/>
    </row>
    <row r="18" customFormat="false" ht="22.35" hidden="false" customHeight="false" outlineLevel="0" collapsed="false">
      <c r="A18" s="6" t="n">
        <v>17</v>
      </c>
      <c r="B18" s="12" t="n">
        <v>46288</v>
      </c>
      <c r="C18" s="6" t="n">
        <v>3</v>
      </c>
      <c r="D18" s="6" t="s">
        <v>15</v>
      </c>
      <c r="E18" s="6" t="s">
        <v>253</v>
      </c>
      <c r="F18" s="6" t="s">
        <v>254</v>
      </c>
      <c r="G18" s="6" t="s">
        <v>255</v>
      </c>
      <c r="H18" s="6" t="s">
        <v>166</v>
      </c>
      <c r="I18" s="6" t="s">
        <v>167</v>
      </c>
      <c r="J18" s="6" t="s">
        <v>256</v>
      </c>
      <c r="K18" s="6" t="s">
        <v>257</v>
      </c>
      <c r="L18" s="6" t="s">
        <v>216</v>
      </c>
      <c r="M18" s="6" t="n">
        <v>4</v>
      </c>
      <c r="N18" s="6"/>
      <c r="O18" s="6"/>
    </row>
    <row r="19" customFormat="false" ht="22.35" hidden="false" customHeight="false" outlineLevel="0" collapsed="false">
      <c r="A19" s="6" t="n">
        <v>18</v>
      </c>
      <c r="B19" s="12" t="n">
        <v>46289</v>
      </c>
      <c r="C19" s="6" t="n">
        <v>3</v>
      </c>
      <c r="D19" s="6" t="s">
        <v>15</v>
      </c>
      <c r="E19" s="6" t="s">
        <v>258</v>
      </c>
      <c r="F19" s="6" t="s">
        <v>259</v>
      </c>
      <c r="G19" s="6" t="s">
        <v>260</v>
      </c>
      <c r="H19" s="6" t="s">
        <v>166</v>
      </c>
      <c r="I19" s="6" t="s">
        <v>167</v>
      </c>
      <c r="J19" s="6" t="s">
        <v>261</v>
      </c>
      <c r="K19" s="6" t="s">
        <v>262</v>
      </c>
      <c r="L19" s="6" t="s">
        <v>222</v>
      </c>
      <c r="M19" s="6" t="n">
        <v>4</v>
      </c>
      <c r="N19" s="6"/>
      <c r="O19" s="6"/>
    </row>
    <row r="20" customFormat="false" ht="32.8" hidden="false" customHeight="false" outlineLevel="0" collapsed="false">
      <c r="A20" s="6" t="n">
        <v>19</v>
      </c>
      <c r="B20" s="12" t="n">
        <v>46290</v>
      </c>
      <c r="C20" s="6" t="n">
        <v>3</v>
      </c>
      <c r="D20" s="6" t="s">
        <v>15</v>
      </c>
      <c r="E20" s="6" t="s">
        <v>263</v>
      </c>
      <c r="F20" s="6" t="s">
        <v>264</v>
      </c>
      <c r="G20" s="6" t="s">
        <v>265</v>
      </c>
      <c r="H20" s="6" t="s">
        <v>166</v>
      </c>
      <c r="I20" s="6" t="s">
        <v>167</v>
      </c>
      <c r="J20" s="6" t="s">
        <v>266</v>
      </c>
      <c r="K20" s="6" t="s">
        <v>267</v>
      </c>
      <c r="L20" s="6" t="s">
        <v>228</v>
      </c>
      <c r="M20" s="6" t="n">
        <v>4</v>
      </c>
      <c r="N20" s="6"/>
      <c r="O20" s="6"/>
    </row>
    <row r="21" customFormat="false" ht="22.35" hidden="false" customHeight="false" outlineLevel="0" collapsed="false">
      <c r="A21" s="6" t="n">
        <v>20</v>
      </c>
      <c r="B21" s="12" t="n">
        <v>46291</v>
      </c>
      <c r="C21" s="6" t="n">
        <v>3</v>
      </c>
      <c r="D21" s="6" t="s">
        <v>15</v>
      </c>
      <c r="E21" s="6" t="s">
        <v>268</v>
      </c>
      <c r="F21" s="6" t="s">
        <v>269</v>
      </c>
      <c r="G21" s="6" t="s">
        <v>270</v>
      </c>
      <c r="H21" s="6" t="s">
        <v>166</v>
      </c>
      <c r="I21" s="6" t="s">
        <v>167</v>
      </c>
      <c r="J21" s="6" t="s">
        <v>271</v>
      </c>
      <c r="K21" s="6" t="s">
        <v>272</v>
      </c>
      <c r="L21" s="6" t="s">
        <v>273</v>
      </c>
      <c r="M21" s="6" t="n">
        <v>4</v>
      </c>
      <c r="N21" s="6"/>
      <c r="O21" s="6"/>
    </row>
    <row r="22" customFormat="false" ht="64.15" hidden="false" customHeight="false" outlineLevel="0" collapsed="false">
      <c r="A22" s="14" t="n">
        <v>21</v>
      </c>
      <c r="B22" s="15" t="n">
        <v>46292</v>
      </c>
      <c r="C22" s="14" t="n">
        <v>3</v>
      </c>
      <c r="D22" s="14" t="s">
        <v>15</v>
      </c>
      <c r="E22" s="14" t="s">
        <v>274</v>
      </c>
      <c r="F22" s="14" t="s">
        <v>201</v>
      </c>
      <c r="G22" s="14" t="s">
        <v>202</v>
      </c>
      <c r="H22" s="14" t="s">
        <v>181</v>
      </c>
      <c r="I22" s="14" t="s">
        <v>182</v>
      </c>
      <c r="J22" s="14" t="s">
        <v>275</v>
      </c>
      <c r="K22" s="14" t="s">
        <v>201</v>
      </c>
      <c r="L22" s="14" t="s">
        <v>204</v>
      </c>
      <c r="M22" s="14" t="n">
        <v>4</v>
      </c>
      <c r="N22" s="14"/>
      <c r="O22" s="14"/>
    </row>
    <row r="23" customFormat="false" ht="15" hidden="false" customHeight="false" outlineLevel="0" collapsed="false">
      <c r="A23" s="6" t="n">
        <v>22</v>
      </c>
      <c r="B23" s="12" t="n">
        <v>46293</v>
      </c>
      <c r="C23" s="6" t="n">
        <v>4</v>
      </c>
      <c r="D23" s="6" t="s">
        <v>15</v>
      </c>
      <c r="E23" s="6" t="s">
        <v>276</v>
      </c>
      <c r="F23" s="6" t="s">
        <v>277</v>
      </c>
      <c r="G23" s="6" t="s">
        <v>278</v>
      </c>
      <c r="H23" s="6" t="s">
        <v>166</v>
      </c>
      <c r="I23" s="6" t="s">
        <v>167</v>
      </c>
      <c r="J23" s="6" t="s">
        <v>279</v>
      </c>
      <c r="K23" s="6" t="s">
        <v>280</v>
      </c>
      <c r="L23" s="6" t="s">
        <v>216</v>
      </c>
      <c r="M23" s="6" t="n">
        <v>4</v>
      </c>
      <c r="N23" s="6"/>
      <c r="O23" s="6"/>
    </row>
    <row r="24" customFormat="false" ht="22.35" hidden="false" customHeight="false" outlineLevel="0" collapsed="false">
      <c r="A24" s="6" t="n">
        <v>23</v>
      </c>
      <c r="B24" s="12" t="n">
        <v>46294</v>
      </c>
      <c r="C24" s="6" t="n">
        <v>4</v>
      </c>
      <c r="D24" s="6" t="s">
        <v>15</v>
      </c>
      <c r="E24" s="6" t="s">
        <v>281</v>
      </c>
      <c r="F24" s="6" t="s">
        <v>282</v>
      </c>
      <c r="G24" s="6" t="s">
        <v>283</v>
      </c>
      <c r="H24" s="6" t="s">
        <v>166</v>
      </c>
      <c r="I24" s="6" t="s">
        <v>167</v>
      </c>
      <c r="J24" s="6" t="s">
        <v>284</v>
      </c>
      <c r="K24" s="6" t="s">
        <v>285</v>
      </c>
      <c r="L24" s="6" t="s">
        <v>222</v>
      </c>
      <c r="M24" s="6" t="n">
        <v>4</v>
      </c>
      <c r="N24" s="6"/>
      <c r="O24" s="6"/>
    </row>
    <row r="25" customFormat="false" ht="22.35" hidden="false" customHeight="false" outlineLevel="0" collapsed="false">
      <c r="A25" s="6" t="n">
        <v>24</v>
      </c>
      <c r="B25" s="12" t="n">
        <v>46295</v>
      </c>
      <c r="C25" s="6" t="n">
        <v>4</v>
      </c>
      <c r="D25" s="6" t="s">
        <v>15</v>
      </c>
      <c r="E25" s="6" t="s">
        <v>286</v>
      </c>
      <c r="F25" s="6" t="s">
        <v>287</v>
      </c>
      <c r="G25" s="6" t="s">
        <v>288</v>
      </c>
      <c r="H25" s="6" t="s">
        <v>166</v>
      </c>
      <c r="I25" s="6" t="s">
        <v>167</v>
      </c>
      <c r="J25" s="6" t="s">
        <v>289</v>
      </c>
      <c r="K25" s="6" t="s">
        <v>290</v>
      </c>
      <c r="L25" s="6" t="s">
        <v>291</v>
      </c>
      <c r="M25" s="6" t="n">
        <v>4</v>
      </c>
      <c r="N25" s="6"/>
      <c r="O25" s="6"/>
    </row>
    <row r="26" customFormat="false" ht="22.35" hidden="false" customHeight="false" outlineLevel="0" collapsed="false">
      <c r="A26" s="6" t="n">
        <v>25</v>
      </c>
      <c r="B26" s="12" t="n">
        <v>46296</v>
      </c>
      <c r="C26" s="6" t="n">
        <v>4</v>
      </c>
      <c r="D26" s="6" t="s">
        <v>15</v>
      </c>
      <c r="E26" s="6" t="s">
        <v>292</v>
      </c>
      <c r="F26" s="6" t="s">
        <v>293</v>
      </c>
      <c r="G26" s="6" t="s">
        <v>294</v>
      </c>
      <c r="H26" s="6" t="s">
        <v>166</v>
      </c>
      <c r="I26" s="6" t="s">
        <v>167</v>
      </c>
      <c r="J26" s="6" t="s">
        <v>295</v>
      </c>
      <c r="K26" s="6" t="s">
        <v>296</v>
      </c>
      <c r="L26" s="6" t="s">
        <v>216</v>
      </c>
      <c r="M26" s="6" t="n">
        <v>4</v>
      </c>
      <c r="N26" s="6"/>
      <c r="O26" s="6"/>
    </row>
    <row r="27" customFormat="false" ht="22.35" hidden="false" customHeight="false" outlineLevel="0" collapsed="false">
      <c r="A27" s="6" t="n">
        <v>26</v>
      </c>
      <c r="B27" s="12" t="n">
        <v>46297</v>
      </c>
      <c r="C27" s="6" t="n">
        <v>4</v>
      </c>
      <c r="D27" s="6" t="s">
        <v>15</v>
      </c>
      <c r="E27" s="6" t="s">
        <v>297</v>
      </c>
      <c r="F27" s="6" t="s">
        <v>298</v>
      </c>
      <c r="G27" s="6" t="s">
        <v>299</v>
      </c>
      <c r="H27" s="6" t="s">
        <v>166</v>
      </c>
      <c r="I27" s="6" t="s">
        <v>167</v>
      </c>
      <c r="J27" s="6" t="s">
        <v>300</v>
      </c>
      <c r="K27" s="6" t="s">
        <v>301</v>
      </c>
      <c r="L27" s="6" t="s">
        <v>302</v>
      </c>
      <c r="M27" s="6" t="n">
        <v>4</v>
      </c>
      <c r="N27" s="6"/>
      <c r="O27" s="6"/>
    </row>
    <row r="28" customFormat="false" ht="22.35" hidden="false" customHeight="false" outlineLevel="0" collapsed="false">
      <c r="A28" s="6" t="n">
        <v>27</v>
      </c>
      <c r="B28" s="12" t="n">
        <v>46298</v>
      </c>
      <c r="C28" s="6" t="n">
        <v>4</v>
      </c>
      <c r="D28" s="6" t="s">
        <v>15</v>
      </c>
      <c r="E28" s="6" t="s">
        <v>303</v>
      </c>
      <c r="F28" s="6" t="s">
        <v>304</v>
      </c>
      <c r="G28" s="6" t="s">
        <v>305</v>
      </c>
      <c r="H28" s="6" t="s">
        <v>166</v>
      </c>
      <c r="I28" s="6" t="s">
        <v>167</v>
      </c>
      <c r="J28" s="6" t="s">
        <v>306</v>
      </c>
      <c r="K28" s="6" t="s">
        <v>307</v>
      </c>
      <c r="L28" s="6" t="s">
        <v>308</v>
      </c>
      <c r="M28" s="6" t="n">
        <v>4</v>
      </c>
      <c r="N28" s="6"/>
      <c r="O28" s="6"/>
    </row>
    <row r="29" customFormat="false" ht="64.15" hidden="false" customHeight="false" outlineLevel="0" collapsed="false">
      <c r="A29" s="14" t="n">
        <v>28</v>
      </c>
      <c r="B29" s="15" t="n">
        <v>46299</v>
      </c>
      <c r="C29" s="14" t="n">
        <v>4</v>
      </c>
      <c r="D29" s="14" t="s">
        <v>15</v>
      </c>
      <c r="E29" s="14" t="s">
        <v>309</v>
      </c>
      <c r="F29" s="14" t="s">
        <v>201</v>
      </c>
      <c r="G29" s="14" t="s">
        <v>202</v>
      </c>
      <c r="H29" s="14" t="s">
        <v>181</v>
      </c>
      <c r="I29" s="14" t="s">
        <v>182</v>
      </c>
      <c r="J29" s="14" t="s">
        <v>310</v>
      </c>
      <c r="K29" s="14" t="s">
        <v>201</v>
      </c>
      <c r="L29" s="14" t="s">
        <v>204</v>
      </c>
      <c r="M29" s="14" t="n">
        <v>4</v>
      </c>
      <c r="N29" s="14"/>
      <c r="O29" s="14"/>
    </row>
    <row r="30" customFormat="false" ht="22.35" hidden="false" customHeight="false" outlineLevel="0" collapsed="false">
      <c r="A30" s="6" t="n">
        <v>29</v>
      </c>
      <c r="B30" s="12" t="n">
        <v>46300</v>
      </c>
      <c r="C30" s="6" t="n">
        <v>5</v>
      </c>
      <c r="D30" s="6" t="s">
        <v>15</v>
      </c>
      <c r="E30" s="6" t="s">
        <v>311</v>
      </c>
      <c r="F30" s="6" t="s">
        <v>312</v>
      </c>
      <c r="G30" s="6" t="s">
        <v>313</v>
      </c>
      <c r="H30" s="6" t="s">
        <v>166</v>
      </c>
      <c r="I30" s="6" t="s">
        <v>167</v>
      </c>
      <c r="J30" s="6" t="s">
        <v>314</v>
      </c>
      <c r="K30" s="6" t="s">
        <v>315</v>
      </c>
      <c r="L30" s="6" t="s">
        <v>216</v>
      </c>
      <c r="M30" s="6" t="n">
        <v>3</v>
      </c>
      <c r="N30" s="6"/>
      <c r="O30" s="6"/>
    </row>
    <row r="31" customFormat="false" ht="22.35" hidden="false" customHeight="false" outlineLevel="0" collapsed="false">
      <c r="A31" s="6" t="n">
        <v>30</v>
      </c>
      <c r="B31" s="12" t="n">
        <v>46301</v>
      </c>
      <c r="C31" s="6" t="n">
        <v>5</v>
      </c>
      <c r="D31" s="6" t="s">
        <v>15</v>
      </c>
      <c r="E31" s="6" t="s">
        <v>316</v>
      </c>
      <c r="F31" s="6" t="s">
        <v>317</v>
      </c>
      <c r="G31" s="6" t="s">
        <v>318</v>
      </c>
      <c r="H31" s="6" t="s">
        <v>166</v>
      </c>
      <c r="I31" s="6" t="s">
        <v>167</v>
      </c>
      <c r="J31" s="6" t="s">
        <v>319</v>
      </c>
      <c r="K31" s="6" t="s">
        <v>320</v>
      </c>
      <c r="L31" s="6" t="s">
        <v>216</v>
      </c>
      <c r="M31" s="6" t="n">
        <v>3</v>
      </c>
      <c r="N31" s="6"/>
      <c r="O31" s="6"/>
    </row>
    <row r="32" customFormat="false" ht="22.35" hidden="false" customHeight="false" outlineLevel="0" collapsed="false">
      <c r="A32" s="6" t="n">
        <v>31</v>
      </c>
      <c r="B32" s="12" t="n">
        <v>46302</v>
      </c>
      <c r="C32" s="6" t="n">
        <v>5</v>
      </c>
      <c r="D32" s="6" t="s">
        <v>15</v>
      </c>
      <c r="E32" s="6" t="s">
        <v>321</v>
      </c>
      <c r="F32" s="6" t="s">
        <v>322</v>
      </c>
      <c r="G32" s="6" t="s">
        <v>323</v>
      </c>
      <c r="H32" s="6" t="s">
        <v>166</v>
      </c>
      <c r="I32" s="6" t="s">
        <v>167</v>
      </c>
      <c r="J32" s="6" t="s">
        <v>324</v>
      </c>
      <c r="K32" s="6" t="s">
        <v>325</v>
      </c>
      <c r="L32" s="6" t="s">
        <v>222</v>
      </c>
      <c r="M32" s="6" t="n">
        <v>3</v>
      </c>
      <c r="N32" s="6"/>
      <c r="O32" s="6"/>
    </row>
    <row r="33" customFormat="false" ht="22.35" hidden="false" customHeight="false" outlineLevel="0" collapsed="false">
      <c r="A33" s="6" t="n">
        <v>32</v>
      </c>
      <c r="B33" s="12" t="n">
        <v>46303</v>
      </c>
      <c r="C33" s="6" t="n">
        <v>5</v>
      </c>
      <c r="D33" s="6" t="s">
        <v>15</v>
      </c>
      <c r="E33" s="6" t="s">
        <v>326</v>
      </c>
      <c r="F33" s="6" t="s">
        <v>327</v>
      </c>
      <c r="G33" s="6" t="s">
        <v>328</v>
      </c>
      <c r="H33" s="6" t="s">
        <v>166</v>
      </c>
      <c r="I33" s="6" t="s">
        <v>167</v>
      </c>
      <c r="J33" s="6" t="s">
        <v>329</v>
      </c>
      <c r="K33" s="6" t="s">
        <v>330</v>
      </c>
      <c r="L33" s="6" t="s">
        <v>331</v>
      </c>
      <c r="M33" s="6" t="n">
        <v>3</v>
      </c>
      <c r="N33" s="6"/>
      <c r="O33" s="6"/>
    </row>
    <row r="34" customFormat="false" ht="22.35" hidden="false" customHeight="false" outlineLevel="0" collapsed="false">
      <c r="A34" s="6" t="n">
        <v>33</v>
      </c>
      <c r="B34" s="12" t="n">
        <v>46304</v>
      </c>
      <c r="C34" s="6" t="n">
        <v>5</v>
      </c>
      <c r="D34" s="6" t="s">
        <v>15</v>
      </c>
      <c r="E34" s="6" t="s">
        <v>332</v>
      </c>
      <c r="F34" s="6" t="s">
        <v>333</v>
      </c>
      <c r="G34" s="6" t="s">
        <v>334</v>
      </c>
      <c r="H34" s="6" t="s">
        <v>166</v>
      </c>
      <c r="I34" s="6" t="s">
        <v>167</v>
      </c>
      <c r="J34" s="6" t="s">
        <v>335</v>
      </c>
      <c r="K34" s="6" t="s">
        <v>336</v>
      </c>
      <c r="L34" s="6" t="s">
        <v>337</v>
      </c>
      <c r="M34" s="6" t="n">
        <v>3</v>
      </c>
      <c r="N34" s="6"/>
      <c r="O34" s="6"/>
    </row>
    <row r="35" customFormat="false" ht="22.35" hidden="false" customHeight="false" outlineLevel="0" collapsed="false">
      <c r="A35" s="6" t="n">
        <v>34</v>
      </c>
      <c r="B35" s="12" t="n">
        <v>46305</v>
      </c>
      <c r="C35" s="6" t="n">
        <v>5</v>
      </c>
      <c r="D35" s="6" t="s">
        <v>15</v>
      </c>
      <c r="E35" s="6" t="s">
        <v>338</v>
      </c>
      <c r="F35" s="6" t="s">
        <v>339</v>
      </c>
      <c r="G35" s="6" t="s">
        <v>340</v>
      </c>
      <c r="H35" s="6" t="s">
        <v>181</v>
      </c>
      <c r="I35" s="6" t="s">
        <v>182</v>
      </c>
      <c r="J35" s="6" t="s">
        <v>341</v>
      </c>
      <c r="K35" s="6" t="s">
        <v>342</v>
      </c>
      <c r="L35" s="6" t="s">
        <v>343</v>
      </c>
      <c r="M35" s="6" t="n">
        <v>3</v>
      </c>
      <c r="N35" s="6"/>
      <c r="O35" s="6"/>
    </row>
    <row r="36" customFormat="false" ht="74.6" hidden="false" customHeight="false" outlineLevel="0" collapsed="false">
      <c r="A36" s="14" t="n">
        <v>35</v>
      </c>
      <c r="B36" s="15" t="n">
        <v>46306</v>
      </c>
      <c r="C36" s="14" t="n">
        <v>5</v>
      </c>
      <c r="D36" s="14" t="s">
        <v>15</v>
      </c>
      <c r="E36" s="14" t="s">
        <v>344</v>
      </c>
      <c r="F36" s="14" t="s">
        <v>201</v>
      </c>
      <c r="G36" s="14" t="s">
        <v>202</v>
      </c>
      <c r="H36" s="14" t="s">
        <v>181</v>
      </c>
      <c r="I36" s="14" t="s">
        <v>182</v>
      </c>
      <c r="J36" s="14" t="s">
        <v>345</v>
      </c>
      <c r="K36" s="14" t="s">
        <v>201</v>
      </c>
      <c r="L36" s="14" t="s">
        <v>204</v>
      </c>
      <c r="M36" s="14" t="n">
        <v>3</v>
      </c>
      <c r="N36" s="14"/>
      <c r="O36" s="14"/>
    </row>
    <row r="37" customFormat="false" ht="22.35" hidden="false" customHeight="false" outlineLevel="0" collapsed="false">
      <c r="A37" s="6" t="n">
        <v>36</v>
      </c>
      <c r="B37" s="12" t="n">
        <v>46307</v>
      </c>
      <c r="C37" s="6" t="n">
        <v>6</v>
      </c>
      <c r="D37" s="6" t="s">
        <v>15</v>
      </c>
      <c r="E37" s="6" t="s">
        <v>346</v>
      </c>
      <c r="F37" s="6" t="s">
        <v>347</v>
      </c>
      <c r="G37" s="6" t="s">
        <v>348</v>
      </c>
      <c r="H37" s="6" t="s">
        <v>349</v>
      </c>
      <c r="I37" s="6" t="s">
        <v>350</v>
      </c>
      <c r="J37" s="6" t="s">
        <v>351</v>
      </c>
      <c r="K37" s="6" t="s">
        <v>352</v>
      </c>
      <c r="L37" s="6" t="s">
        <v>216</v>
      </c>
      <c r="M37" s="6" t="n">
        <v>3</v>
      </c>
      <c r="N37" s="6"/>
      <c r="O37" s="6"/>
    </row>
    <row r="38" customFormat="false" ht="22.35" hidden="false" customHeight="false" outlineLevel="0" collapsed="false">
      <c r="A38" s="6" t="n">
        <v>37</v>
      </c>
      <c r="B38" s="12" t="n">
        <v>46308</v>
      </c>
      <c r="C38" s="6" t="n">
        <v>6</v>
      </c>
      <c r="D38" s="6" t="s">
        <v>15</v>
      </c>
      <c r="E38" s="6" t="s">
        <v>353</v>
      </c>
      <c r="F38" s="6" t="s">
        <v>354</v>
      </c>
      <c r="G38" s="6" t="s">
        <v>348</v>
      </c>
      <c r="H38" s="6" t="s">
        <v>349</v>
      </c>
      <c r="I38" s="6" t="s">
        <v>350</v>
      </c>
      <c r="J38" s="6" t="s">
        <v>355</v>
      </c>
      <c r="K38" s="6" t="s">
        <v>356</v>
      </c>
      <c r="L38" s="6" t="s">
        <v>357</v>
      </c>
      <c r="M38" s="6" t="n">
        <v>3</v>
      </c>
      <c r="N38" s="6"/>
      <c r="O38" s="6"/>
    </row>
    <row r="39" customFormat="false" ht="22.35" hidden="false" customHeight="false" outlineLevel="0" collapsed="false">
      <c r="A39" s="6" t="n">
        <v>38</v>
      </c>
      <c r="B39" s="12" t="n">
        <v>46309</v>
      </c>
      <c r="C39" s="6" t="n">
        <v>6</v>
      </c>
      <c r="D39" s="6" t="s">
        <v>15</v>
      </c>
      <c r="E39" s="6" t="s">
        <v>358</v>
      </c>
      <c r="F39" s="6" t="s">
        <v>359</v>
      </c>
      <c r="G39" s="6" t="s">
        <v>360</v>
      </c>
      <c r="H39" s="6" t="s">
        <v>349</v>
      </c>
      <c r="I39" s="6" t="s">
        <v>350</v>
      </c>
      <c r="J39" s="6" t="s">
        <v>361</v>
      </c>
      <c r="K39" s="6" t="s">
        <v>362</v>
      </c>
      <c r="L39" s="6" t="s">
        <v>222</v>
      </c>
      <c r="M39" s="6" t="n">
        <v>3</v>
      </c>
      <c r="N39" s="6"/>
      <c r="O39" s="6"/>
    </row>
    <row r="40" customFormat="false" ht="22.35" hidden="false" customHeight="false" outlineLevel="0" collapsed="false">
      <c r="A40" s="6" t="n">
        <v>39</v>
      </c>
      <c r="B40" s="12" t="n">
        <v>46310</v>
      </c>
      <c r="C40" s="6" t="n">
        <v>6</v>
      </c>
      <c r="D40" s="6" t="s">
        <v>15</v>
      </c>
      <c r="E40" s="6" t="s">
        <v>363</v>
      </c>
      <c r="F40" s="6" t="s">
        <v>364</v>
      </c>
      <c r="G40" s="6" t="s">
        <v>365</v>
      </c>
      <c r="H40" s="6" t="s">
        <v>349</v>
      </c>
      <c r="I40" s="6" t="s">
        <v>350</v>
      </c>
      <c r="J40" s="6" t="s">
        <v>366</v>
      </c>
      <c r="K40" s="6" t="s">
        <v>367</v>
      </c>
      <c r="L40" s="6" t="s">
        <v>216</v>
      </c>
      <c r="M40" s="6" t="n">
        <v>3</v>
      </c>
      <c r="N40" s="6"/>
      <c r="O40" s="6"/>
    </row>
    <row r="41" customFormat="false" ht="22.35" hidden="false" customHeight="false" outlineLevel="0" collapsed="false">
      <c r="A41" s="6" t="n">
        <v>40</v>
      </c>
      <c r="B41" s="12" t="n">
        <v>46311</v>
      </c>
      <c r="C41" s="6" t="n">
        <v>6</v>
      </c>
      <c r="D41" s="6" t="s">
        <v>15</v>
      </c>
      <c r="E41" s="6" t="s">
        <v>368</v>
      </c>
      <c r="F41" s="6" t="s">
        <v>369</v>
      </c>
      <c r="G41" s="6" t="s">
        <v>370</v>
      </c>
      <c r="H41" s="6" t="s">
        <v>371</v>
      </c>
      <c r="I41" s="6" t="s">
        <v>372</v>
      </c>
      <c r="J41" s="6" t="s">
        <v>373</v>
      </c>
      <c r="K41" s="6" t="s">
        <v>374</v>
      </c>
      <c r="L41" s="6" t="s">
        <v>375</v>
      </c>
      <c r="M41" s="6" t="n">
        <v>3</v>
      </c>
      <c r="N41" s="6"/>
      <c r="O41" s="6"/>
    </row>
    <row r="42" customFormat="false" ht="22.35" hidden="false" customHeight="false" outlineLevel="0" collapsed="false">
      <c r="A42" s="6" t="n">
        <v>41</v>
      </c>
      <c r="B42" s="12" t="n">
        <v>46312</v>
      </c>
      <c r="C42" s="6" t="n">
        <v>6</v>
      </c>
      <c r="D42" s="6" t="s">
        <v>15</v>
      </c>
      <c r="E42" s="6" t="s">
        <v>25</v>
      </c>
      <c r="F42" s="6" t="s">
        <v>376</v>
      </c>
      <c r="G42" s="6" t="s">
        <v>377</v>
      </c>
      <c r="H42" s="6" t="s">
        <v>181</v>
      </c>
      <c r="I42" s="6" t="s">
        <v>182</v>
      </c>
      <c r="J42" s="6" t="s">
        <v>378</v>
      </c>
      <c r="K42" s="6" t="s">
        <v>379</v>
      </c>
      <c r="L42" s="6" t="s">
        <v>380</v>
      </c>
      <c r="M42" s="6" t="n">
        <v>3</v>
      </c>
      <c r="N42" s="6"/>
      <c r="O42" s="6"/>
    </row>
    <row r="43" customFormat="false" ht="74.6" hidden="false" customHeight="false" outlineLevel="0" collapsed="false">
      <c r="A43" s="4" t="n">
        <v>42</v>
      </c>
      <c r="B43" s="13" t="n">
        <v>46313</v>
      </c>
      <c r="C43" s="4" t="n">
        <v>6</v>
      </c>
      <c r="D43" s="4" t="s">
        <v>15</v>
      </c>
      <c r="E43" s="4" t="s">
        <v>381</v>
      </c>
      <c r="F43" s="4" t="s">
        <v>201</v>
      </c>
      <c r="G43" s="4" t="s">
        <v>202</v>
      </c>
      <c r="H43" s="4" t="s">
        <v>181</v>
      </c>
      <c r="I43" s="4" t="s">
        <v>182</v>
      </c>
      <c r="J43" s="4" t="s">
        <v>382</v>
      </c>
      <c r="K43" s="4" t="s">
        <v>201</v>
      </c>
      <c r="L43" s="4" t="s">
        <v>204</v>
      </c>
      <c r="M43" s="4" t="n">
        <v>3</v>
      </c>
      <c r="N43" s="4" t="s">
        <v>25</v>
      </c>
      <c r="O43" s="4"/>
    </row>
    <row r="44" customFormat="false" ht="22.35" hidden="false" customHeight="false" outlineLevel="0" collapsed="false">
      <c r="A44" s="6" t="n">
        <v>43</v>
      </c>
      <c r="B44" s="12" t="n">
        <v>46314</v>
      </c>
      <c r="C44" s="6" t="n">
        <v>7</v>
      </c>
      <c r="D44" s="6" t="s">
        <v>27</v>
      </c>
      <c r="E44" s="6" t="s">
        <v>383</v>
      </c>
      <c r="F44" s="6" t="s">
        <v>384</v>
      </c>
      <c r="G44" s="6" t="s">
        <v>385</v>
      </c>
      <c r="H44" s="6" t="s">
        <v>386</v>
      </c>
      <c r="I44" s="6" t="s">
        <v>387</v>
      </c>
      <c r="J44" s="6" t="s">
        <v>388</v>
      </c>
      <c r="K44" s="6" t="s">
        <v>389</v>
      </c>
      <c r="L44" s="6" t="s">
        <v>390</v>
      </c>
      <c r="M44" s="6" t="n">
        <v>3</v>
      </c>
      <c r="N44" s="6"/>
      <c r="O44" s="6"/>
    </row>
    <row r="45" customFormat="false" ht="22.35" hidden="false" customHeight="false" outlineLevel="0" collapsed="false">
      <c r="A45" s="6" t="n">
        <v>44</v>
      </c>
      <c r="B45" s="12" t="n">
        <v>46315</v>
      </c>
      <c r="C45" s="6" t="n">
        <v>7</v>
      </c>
      <c r="D45" s="6" t="s">
        <v>27</v>
      </c>
      <c r="E45" s="6" t="s">
        <v>391</v>
      </c>
      <c r="F45" s="6" t="s">
        <v>392</v>
      </c>
      <c r="G45" s="6" t="s">
        <v>393</v>
      </c>
      <c r="H45" s="6" t="s">
        <v>386</v>
      </c>
      <c r="I45" s="6" t="s">
        <v>387</v>
      </c>
      <c r="J45" s="6" t="s">
        <v>394</v>
      </c>
      <c r="K45" s="6" t="s">
        <v>395</v>
      </c>
      <c r="L45" s="6" t="s">
        <v>396</v>
      </c>
      <c r="M45" s="6" t="n">
        <v>3</v>
      </c>
      <c r="N45" s="6"/>
      <c r="O45" s="6"/>
    </row>
    <row r="46" customFormat="false" ht="22.35" hidden="false" customHeight="false" outlineLevel="0" collapsed="false">
      <c r="A46" s="6" t="n">
        <v>45</v>
      </c>
      <c r="B46" s="12" t="n">
        <v>46316</v>
      </c>
      <c r="C46" s="6" t="n">
        <v>7</v>
      </c>
      <c r="D46" s="6" t="s">
        <v>27</v>
      </c>
      <c r="E46" s="6" t="s">
        <v>397</v>
      </c>
      <c r="F46" s="6" t="s">
        <v>398</v>
      </c>
      <c r="G46" s="6" t="s">
        <v>399</v>
      </c>
      <c r="H46" s="6" t="s">
        <v>400</v>
      </c>
      <c r="I46" s="6" t="s">
        <v>401</v>
      </c>
      <c r="J46" s="6" t="s">
        <v>402</v>
      </c>
      <c r="K46" s="6" t="s">
        <v>403</v>
      </c>
      <c r="L46" s="6" t="s">
        <v>216</v>
      </c>
      <c r="M46" s="6" t="n">
        <v>3</v>
      </c>
      <c r="N46" s="6"/>
      <c r="O46" s="6"/>
    </row>
    <row r="47" customFormat="false" ht="22.35" hidden="false" customHeight="false" outlineLevel="0" collapsed="false">
      <c r="A47" s="6" t="n">
        <v>46</v>
      </c>
      <c r="B47" s="12" t="n">
        <v>46317</v>
      </c>
      <c r="C47" s="6" t="n">
        <v>7</v>
      </c>
      <c r="D47" s="6" t="s">
        <v>27</v>
      </c>
      <c r="E47" s="6" t="s">
        <v>404</v>
      </c>
      <c r="F47" s="6" t="s">
        <v>405</v>
      </c>
      <c r="G47" s="6" t="s">
        <v>406</v>
      </c>
      <c r="H47" s="6" t="s">
        <v>400</v>
      </c>
      <c r="I47" s="6" t="s">
        <v>401</v>
      </c>
      <c r="J47" s="6" t="s">
        <v>407</v>
      </c>
      <c r="K47" s="6" t="s">
        <v>408</v>
      </c>
      <c r="L47" s="6" t="s">
        <v>409</v>
      </c>
      <c r="M47" s="6" t="n">
        <v>3</v>
      </c>
      <c r="N47" s="6"/>
      <c r="O47" s="6"/>
    </row>
    <row r="48" customFormat="false" ht="22.35" hidden="false" customHeight="false" outlineLevel="0" collapsed="false">
      <c r="A48" s="6" t="n">
        <v>47</v>
      </c>
      <c r="B48" s="12" t="n">
        <v>46318</v>
      </c>
      <c r="C48" s="6" t="n">
        <v>7</v>
      </c>
      <c r="D48" s="6" t="s">
        <v>27</v>
      </c>
      <c r="E48" s="6" t="s">
        <v>410</v>
      </c>
      <c r="F48" s="6" t="s">
        <v>411</v>
      </c>
      <c r="G48" s="6" t="s">
        <v>412</v>
      </c>
      <c r="H48" s="6" t="s">
        <v>400</v>
      </c>
      <c r="I48" s="6" t="s">
        <v>401</v>
      </c>
      <c r="J48" s="6" t="s">
        <v>413</v>
      </c>
      <c r="K48" s="6" t="s">
        <v>414</v>
      </c>
      <c r="L48" s="6" t="s">
        <v>216</v>
      </c>
      <c r="M48" s="6" t="n">
        <v>3</v>
      </c>
      <c r="N48" s="6"/>
      <c r="O48" s="6"/>
    </row>
    <row r="49" customFormat="false" ht="22.35" hidden="false" customHeight="false" outlineLevel="0" collapsed="false">
      <c r="A49" s="6" t="n">
        <v>48</v>
      </c>
      <c r="B49" s="12" t="n">
        <v>46319</v>
      </c>
      <c r="C49" s="6" t="n">
        <v>7</v>
      </c>
      <c r="D49" s="6" t="s">
        <v>27</v>
      </c>
      <c r="E49" s="6" t="s">
        <v>415</v>
      </c>
      <c r="F49" s="6" t="s">
        <v>416</v>
      </c>
      <c r="G49" s="6" t="s">
        <v>417</v>
      </c>
      <c r="H49" s="6" t="s">
        <v>181</v>
      </c>
      <c r="I49" s="6" t="s">
        <v>182</v>
      </c>
      <c r="J49" s="6" t="s">
        <v>418</v>
      </c>
      <c r="K49" s="6" t="s">
        <v>419</v>
      </c>
      <c r="L49" s="6" t="s">
        <v>420</v>
      </c>
      <c r="M49" s="6" t="n">
        <v>3</v>
      </c>
      <c r="N49" s="6"/>
      <c r="O49" s="6"/>
    </row>
    <row r="50" customFormat="false" ht="64.15" hidden="false" customHeight="false" outlineLevel="0" collapsed="false">
      <c r="A50" s="14" t="n">
        <v>49</v>
      </c>
      <c r="B50" s="15" t="n">
        <v>46320</v>
      </c>
      <c r="C50" s="14" t="n">
        <v>7</v>
      </c>
      <c r="D50" s="14" t="s">
        <v>27</v>
      </c>
      <c r="E50" s="14" t="s">
        <v>421</v>
      </c>
      <c r="F50" s="14" t="s">
        <v>201</v>
      </c>
      <c r="G50" s="14" t="s">
        <v>202</v>
      </c>
      <c r="H50" s="14" t="s">
        <v>181</v>
      </c>
      <c r="I50" s="14" t="s">
        <v>182</v>
      </c>
      <c r="J50" s="14" t="s">
        <v>422</v>
      </c>
      <c r="K50" s="14" t="s">
        <v>201</v>
      </c>
      <c r="L50" s="14" t="s">
        <v>204</v>
      </c>
      <c r="M50" s="14" t="n">
        <v>3</v>
      </c>
      <c r="N50" s="14"/>
      <c r="O50" s="14"/>
    </row>
    <row r="51" customFormat="false" ht="22.35" hidden="false" customHeight="false" outlineLevel="0" collapsed="false">
      <c r="A51" s="6" t="n">
        <v>50</v>
      </c>
      <c r="B51" s="12" t="n">
        <v>46321</v>
      </c>
      <c r="C51" s="6" t="n">
        <v>8</v>
      </c>
      <c r="D51" s="6" t="s">
        <v>27</v>
      </c>
      <c r="E51" s="6" t="s">
        <v>423</v>
      </c>
      <c r="F51" s="6" t="s">
        <v>424</v>
      </c>
      <c r="G51" s="6" t="s">
        <v>425</v>
      </c>
      <c r="H51" s="6" t="s">
        <v>400</v>
      </c>
      <c r="I51" s="6" t="s">
        <v>401</v>
      </c>
      <c r="J51" s="6" t="s">
        <v>426</v>
      </c>
      <c r="K51" s="6" t="s">
        <v>427</v>
      </c>
      <c r="L51" s="6" t="s">
        <v>428</v>
      </c>
      <c r="M51" s="6" t="n">
        <v>3</v>
      </c>
      <c r="N51" s="6"/>
      <c r="O51" s="6"/>
    </row>
    <row r="52" customFormat="false" ht="22.35" hidden="false" customHeight="false" outlineLevel="0" collapsed="false">
      <c r="A52" s="6" t="n">
        <v>51</v>
      </c>
      <c r="B52" s="12" t="n">
        <v>46322</v>
      </c>
      <c r="C52" s="6" t="n">
        <v>8</v>
      </c>
      <c r="D52" s="6" t="s">
        <v>27</v>
      </c>
      <c r="E52" s="6" t="s">
        <v>429</v>
      </c>
      <c r="F52" s="6" t="s">
        <v>430</v>
      </c>
      <c r="G52" s="6" t="s">
        <v>431</v>
      </c>
      <c r="H52" s="6" t="s">
        <v>400</v>
      </c>
      <c r="I52" s="6" t="s">
        <v>401</v>
      </c>
      <c r="J52" s="6" t="s">
        <v>432</v>
      </c>
      <c r="K52" s="6" t="s">
        <v>433</v>
      </c>
      <c r="L52" s="6" t="s">
        <v>216</v>
      </c>
      <c r="M52" s="6" t="n">
        <v>3</v>
      </c>
      <c r="N52" s="6"/>
      <c r="O52" s="6"/>
    </row>
    <row r="53" customFormat="false" ht="22.35" hidden="false" customHeight="false" outlineLevel="0" collapsed="false">
      <c r="A53" s="6" t="n">
        <v>52</v>
      </c>
      <c r="B53" s="12" t="n">
        <v>46323</v>
      </c>
      <c r="C53" s="6" t="n">
        <v>8</v>
      </c>
      <c r="D53" s="6" t="s">
        <v>27</v>
      </c>
      <c r="E53" s="6" t="s">
        <v>434</v>
      </c>
      <c r="F53" s="6" t="s">
        <v>435</v>
      </c>
      <c r="G53" s="6" t="s">
        <v>436</v>
      </c>
      <c r="H53" s="6" t="s">
        <v>400</v>
      </c>
      <c r="I53" s="6" t="s">
        <v>401</v>
      </c>
      <c r="J53" s="6" t="s">
        <v>437</v>
      </c>
      <c r="K53" s="6" t="s">
        <v>438</v>
      </c>
      <c r="L53" s="6" t="s">
        <v>439</v>
      </c>
      <c r="M53" s="6" t="n">
        <v>3</v>
      </c>
      <c r="N53" s="6"/>
      <c r="O53" s="6"/>
    </row>
    <row r="54" customFormat="false" ht="22.35" hidden="false" customHeight="false" outlineLevel="0" collapsed="false">
      <c r="A54" s="6" t="n">
        <v>53</v>
      </c>
      <c r="B54" s="12" t="n">
        <v>46324</v>
      </c>
      <c r="C54" s="6" t="n">
        <v>8</v>
      </c>
      <c r="D54" s="6" t="s">
        <v>27</v>
      </c>
      <c r="E54" s="6" t="s">
        <v>440</v>
      </c>
      <c r="F54" s="6" t="s">
        <v>441</v>
      </c>
      <c r="G54" s="6" t="s">
        <v>442</v>
      </c>
      <c r="H54" s="6" t="s">
        <v>443</v>
      </c>
      <c r="I54" s="6" t="s">
        <v>444</v>
      </c>
      <c r="J54" s="6" t="s">
        <v>445</v>
      </c>
      <c r="K54" s="6" t="s">
        <v>446</v>
      </c>
      <c r="L54" s="6" t="s">
        <v>447</v>
      </c>
      <c r="M54" s="6" t="n">
        <v>3</v>
      </c>
      <c r="N54" s="6"/>
      <c r="O54" s="6"/>
    </row>
    <row r="55" customFormat="false" ht="32.8" hidden="false" customHeight="false" outlineLevel="0" collapsed="false">
      <c r="A55" s="6" t="n">
        <v>54</v>
      </c>
      <c r="B55" s="12" t="n">
        <v>46325</v>
      </c>
      <c r="C55" s="6" t="n">
        <v>8</v>
      </c>
      <c r="D55" s="6" t="s">
        <v>27</v>
      </c>
      <c r="E55" s="6" t="s">
        <v>448</v>
      </c>
      <c r="F55" s="6" t="s">
        <v>449</v>
      </c>
      <c r="G55" s="6" t="s">
        <v>450</v>
      </c>
      <c r="H55" s="6" t="s">
        <v>448</v>
      </c>
      <c r="I55" s="6" t="s">
        <v>451</v>
      </c>
      <c r="J55" s="6" t="s">
        <v>452</v>
      </c>
      <c r="K55" s="6" t="s">
        <v>453</v>
      </c>
      <c r="L55" s="6" t="s">
        <v>454</v>
      </c>
      <c r="M55" s="6" t="n">
        <v>3</v>
      </c>
      <c r="N55" s="6"/>
      <c r="O55" s="6"/>
    </row>
    <row r="56" customFormat="false" ht="22.35" hidden="false" customHeight="false" outlineLevel="0" collapsed="false">
      <c r="A56" s="6" t="n">
        <v>55</v>
      </c>
      <c r="B56" s="12" t="n">
        <v>46326</v>
      </c>
      <c r="C56" s="6" t="n">
        <v>8</v>
      </c>
      <c r="D56" s="6" t="s">
        <v>27</v>
      </c>
      <c r="E56" s="6" t="s">
        <v>455</v>
      </c>
      <c r="F56" s="6" t="s">
        <v>456</v>
      </c>
      <c r="G56" s="6" t="s">
        <v>457</v>
      </c>
      <c r="H56" s="6" t="s">
        <v>386</v>
      </c>
      <c r="I56" s="6" t="s">
        <v>387</v>
      </c>
      <c r="J56" s="6" t="s">
        <v>458</v>
      </c>
      <c r="K56" s="6" t="s">
        <v>459</v>
      </c>
      <c r="L56" s="6" t="s">
        <v>460</v>
      </c>
      <c r="M56" s="6" t="n">
        <v>3</v>
      </c>
      <c r="N56" s="6"/>
      <c r="O56" s="6"/>
    </row>
    <row r="57" customFormat="false" ht="74.6" hidden="false" customHeight="false" outlineLevel="0" collapsed="false">
      <c r="A57" s="14" t="n">
        <v>56</v>
      </c>
      <c r="B57" s="15" t="n">
        <v>46327</v>
      </c>
      <c r="C57" s="14" t="n">
        <v>8</v>
      </c>
      <c r="D57" s="14" t="s">
        <v>27</v>
      </c>
      <c r="E57" s="14" t="s">
        <v>461</v>
      </c>
      <c r="F57" s="14" t="s">
        <v>201</v>
      </c>
      <c r="G57" s="14" t="s">
        <v>202</v>
      </c>
      <c r="H57" s="14" t="s">
        <v>181</v>
      </c>
      <c r="I57" s="14" t="s">
        <v>182</v>
      </c>
      <c r="J57" s="14" t="s">
        <v>462</v>
      </c>
      <c r="K57" s="14" t="s">
        <v>201</v>
      </c>
      <c r="L57" s="14" t="s">
        <v>204</v>
      </c>
      <c r="M57" s="14" t="n">
        <v>3</v>
      </c>
      <c r="N57" s="14"/>
      <c r="O57" s="14"/>
    </row>
    <row r="58" customFormat="false" ht="22.35" hidden="false" customHeight="false" outlineLevel="0" collapsed="false">
      <c r="A58" s="6" t="n">
        <v>57</v>
      </c>
      <c r="B58" s="12" t="n">
        <v>46328</v>
      </c>
      <c r="C58" s="6" t="n">
        <v>9</v>
      </c>
      <c r="D58" s="6" t="s">
        <v>27</v>
      </c>
      <c r="E58" s="6" t="s">
        <v>463</v>
      </c>
      <c r="F58" s="6" t="s">
        <v>464</v>
      </c>
      <c r="G58" s="6" t="s">
        <v>465</v>
      </c>
      <c r="H58" s="6" t="s">
        <v>400</v>
      </c>
      <c r="I58" s="6" t="s">
        <v>401</v>
      </c>
      <c r="J58" s="6" t="s">
        <v>466</v>
      </c>
      <c r="K58" s="6" t="s">
        <v>467</v>
      </c>
      <c r="L58" s="6" t="s">
        <v>468</v>
      </c>
      <c r="M58" s="6" t="n">
        <v>3</v>
      </c>
      <c r="N58" s="6"/>
      <c r="O58" s="6"/>
    </row>
    <row r="59" customFormat="false" ht="22.35" hidden="false" customHeight="false" outlineLevel="0" collapsed="false">
      <c r="A59" s="6" t="n">
        <v>58</v>
      </c>
      <c r="B59" s="12" t="n">
        <v>46329</v>
      </c>
      <c r="C59" s="6" t="n">
        <v>9</v>
      </c>
      <c r="D59" s="6" t="s">
        <v>27</v>
      </c>
      <c r="E59" s="6" t="s">
        <v>469</v>
      </c>
      <c r="F59" s="6" t="s">
        <v>470</v>
      </c>
      <c r="G59" s="6" t="s">
        <v>471</v>
      </c>
      <c r="H59" s="6" t="s">
        <v>400</v>
      </c>
      <c r="I59" s="6" t="s">
        <v>401</v>
      </c>
      <c r="J59" s="6" t="s">
        <v>472</v>
      </c>
      <c r="K59" s="6" t="s">
        <v>473</v>
      </c>
      <c r="L59" s="6" t="s">
        <v>474</v>
      </c>
      <c r="M59" s="6" t="n">
        <v>3</v>
      </c>
      <c r="N59" s="6"/>
      <c r="O59" s="6"/>
    </row>
    <row r="60" customFormat="false" ht="22.35" hidden="false" customHeight="false" outlineLevel="0" collapsed="false">
      <c r="A60" s="6" t="n">
        <v>59</v>
      </c>
      <c r="B60" s="12" t="n">
        <v>46330</v>
      </c>
      <c r="C60" s="6" t="n">
        <v>9</v>
      </c>
      <c r="D60" s="6" t="s">
        <v>27</v>
      </c>
      <c r="E60" s="6" t="s">
        <v>475</v>
      </c>
      <c r="F60" s="6" t="s">
        <v>476</v>
      </c>
      <c r="G60" s="6" t="s">
        <v>477</v>
      </c>
      <c r="H60" s="6" t="s">
        <v>400</v>
      </c>
      <c r="I60" s="6" t="s">
        <v>401</v>
      </c>
      <c r="J60" s="6" t="s">
        <v>478</v>
      </c>
      <c r="K60" s="6" t="s">
        <v>479</v>
      </c>
      <c r="L60" s="6" t="s">
        <v>216</v>
      </c>
      <c r="M60" s="6" t="n">
        <v>3</v>
      </c>
      <c r="N60" s="6"/>
      <c r="O60" s="6"/>
    </row>
    <row r="61" customFormat="false" ht="22.35" hidden="false" customHeight="false" outlineLevel="0" collapsed="false">
      <c r="A61" s="6" t="n">
        <v>60</v>
      </c>
      <c r="B61" s="12" t="n">
        <v>46331</v>
      </c>
      <c r="C61" s="6" t="n">
        <v>9</v>
      </c>
      <c r="D61" s="6" t="s">
        <v>27</v>
      </c>
      <c r="E61" s="6" t="s">
        <v>480</v>
      </c>
      <c r="F61" s="6" t="s">
        <v>481</v>
      </c>
      <c r="G61" s="6" t="s">
        <v>482</v>
      </c>
      <c r="H61" s="6" t="s">
        <v>166</v>
      </c>
      <c r="I61" s="6" t="s">
        <v>167</v>
      </c>
      <c r="J61" s="6" t="s">
        <v>483</v>
      </c>
      <c r="K61" s="6" t="s">
        <v>484</v>
      </c>
      <c r="L61" s="6" t="s">
        <v>485</v>
      </c>
      <c r="M61" s="6" t="n">
        <v>3</v>
      </c>
      <c r="N61" s="6"/>
      <c r="O61" s="6"/>
    </row>
    <row r="62" customFormat="false" ht="22.35" hidden="false" customHeight="false" outlineLevel="0" collapsed="false">
      <c r="A62" s="6" t="n">
        <v>61</v>
      </c>
      <c r="B62" s="12" t="n">
        <v>46332</v>
      </c>
      <c r="C62" s="6" t="n">
        <v>9</v>
      </c>
      <c r="D62" s="6" t="s">
        <v>27</v>
      </c>
      <c r="E62" s="6" t="s">
        <v>486</v>
      </c>
      <c r="F62" s="6" t="s">
        <v>487</v>
      </c>
      <c r="G62" s="6" t="s">
        <v>488</v>
      </c>
      <c r="H62" s="6" t="s">
        <v>400</v>
      </c>
      <c r="I62" s="6" t="s">
        <v>401</v>
      </c>
      <c r="J62" s="6" t="s">
        <v>489</v>
      </c>
      <c r="K62" s="6" t="s">
        <v>490</v>
      </c>
      <c r="L62" s="6" t="s">
        <v>454</v>
      </c>
      <c r="M62" s="6" t="n">
        <v>3</v>
      </c>
      <c r="N62" s="6"/>
      <c r="O62" s="6"/>
    </row>
    <row r="63" customFormat="false" ht="22.35" hidden="false" customHeight="false" outlineLevel="0" collapsed="false">
      <c r="A63" s="6" t="n">
        <v>62</v>
      </c>
      <c r="B63" s="12" t="n">
        <v>46333</v>
      </c>
      <c r="C63" s="6" t="n">
        <v>9</v>
      </c>
      <c r="D63" s="6" t="s">
        <v>27</v>
      </c>
      <c r="E63" s="6" t="s">
        <v>491</v>
      </c>
      <c r="F63" s="6" t="s">
        <v>492</v>
      </c>
      <c r="G63" s="6" t="s">
        <v>493</v>
      </c>
      <c r="H63" s="6" t="s">
        <v>386</v>
      </c>
      <c r="I63" s="6" t="s">
        <v>387</v>
      </c>
      <c r="J63" s="6" t="s">
        <v>494</v>
      </c>
      <c r="K63" s="6" t="s">
        <v>495</v>
      </c>
      <c r="L63" s="6" t="s">
        <v>496</v>
      </c>
      <c r="M63" s="6" t="n">
        <v>3</v>
      </c>
      <c r="N63" s="6"/>
      <c r="O63" s="6"/>
    </row>
    <row r="64" customFormat="false" ht="64.15" hidden="false" customHeight="false" outlineLevel="0" collapsed="false">
      <c r="A64" s="14" t="n">
        <v>63</v>
      </c>
      <c r="B64" s="15" t="n">
        <v>46334</v>
      </c>
      <c r="C64" s="14" t="n">
        <v>9</v>
      </c>
      <c r="D64" s="14" t="s">
        <v>27</v>
      </c>
      <c r="E64" s="14" t="s">
        <v>497</v>
      </c>
      <c r="F64" s="14" t="s">
        <v>201</v>
      </c>
      <c r="G64" s="14" t="s">
        <v>202</v>
      </c>
      <c r="H64" s="14" t="s">
        <v>181</v>
      </c>
      <c r="I64" s="14" t="s">
        <v>182</v>
      </c>
      <c r="J64" s="14" t="s">
        <v>498</v>
      </c>
      <c r="K64" s="14" t="s">
        <v>201</v>
      </c>
      <c r="L64" s="14" t="s">
        <v>204</v>
      </c>
      <c r="M64" s="14" t="n">
        <v>3</v>
      </c>
      <c r="N64" s="14"/>
      <c r="O64" s="14"/>
    </row>
    <row r="65" customFormat="false" ht="22.35" hidden="false" customHeight="false" outlineLevel="0" collapsed="false">
      <c r="A65" s="6" t="n">
        <v>64</v>
      </c>
      <c r="B65" s="12" t="n">
        <v>46335</v>
      </c>
      <c r="C65" s="6" t="n">
        <v>10</v>
      </c>
      <c r="D65" s="6" t="s">
        <v>27</v>
      </c>
      <c r="E65" s="6" t="s">
        <v>499</v>
      </c>
      <c r="F65" s="6" t="s">
        <v>500</v>
      </c>
      <c r="G65" s="6" t="s">
        <v>501</v>
      </c>
      <c r="H65" s="6" t="s">
        <v>502</v>
      </c>
      <c r="I65" s="6" t="s">
        <v>503</v>
      </c>
      <c r="J65" s="6" t="s">
        <v>504</v>
      </c>
      <c r="K65" s="6" t="s">
        <v>505</v>
      </c>
      <c r="L65" s="6" t="s">
        <v>447</v>
      </c>
      <c r="M65" s="6" t="n">
        <v>4</v>
      </c>
      <c r="N65" s="6"/>
      <c r="O65" s="6"/>
    </row>
    <row r="66" customFormat="false" ht="22.35" hidden="false" customHeight="false" outlineLevel="0" collapsed="false">
      <c r="A66" s="6" t="n">
        <v>65</v>
      </c>
      <c r="B66" s="12" t="n">
        <v>46336</v>
      </c>
      <c r="C66" s="6" t="n">
        <v>10</v>
      </c>
      <c r="D66" s="6" t="s">
        <v>27</v>
      </c>
      <c r="E66" s="6" t="s">
        <v>506</v>
      </c>
      <c r="F66" s="6" t="s">
        <v>507</v>
      </c>
      <c r="G66" s="6" t="s">
        <v>508</v>
      </c>
      <c r="H66" s="6" t="s">
        <v>508</v>
      </c>
      <c r="I66" s="6" t="s">
        <v>509</v>
      </c>
      <c r="J66" s="6" t="s">
        <v>510</v>
      </c>
      <c r="K66" s="6" t="s">
        <v>511</v>
      </c>
      <c r="L66" s="6" t="s">
        <v>512</v>
      </c>
      <c r="M66" s="6" t="n">
        <v>4</v>
      </c>
      <c r="N66" s="6"/>
      <c r="O66" s="6"/>
    </row>
    <row r="67" customFormat="false" ht="22.35" hidden="false" customHeight="false" outlineLevel="0" collapsed="false">
      <c r="A67" s="6" t="n">
        <v>66</v>
      </c>
      <c r="B67" s="12" t="n">
        <v>46337</v>
      </c>
      <c r="C67" s="6" t="n">
        <v>10</v>
      </c>
      <c r="D67" s="6" t="s">
        <v>27</v>
      </c>
      <c r="E67" s="6" t="s">
        <v>513</v>
      </c>
      <c r="F67" s="6" t="s">
        <v>514</v>
      </c>
      <c r="G67" s="6" t="s">
        <v>515</v>
      </c>
      <c r="H67" s="6" t="s">
        <v>181</v>
      </c>
      <c r="I67" s="6" t="s">
        <v>182</v>
      </c>
      <c r="J67" s="6" t="s">
        <v>516</v>
      </c>
      <c r="K67" s="6" t="s">
        <v>517</v>
      </c>
      <c r="L67" s="6" t="s">
        <v>518</v>
      </c>
      <c r="M67" s="6" t="n">
        <v>4</v>
      </c>
      <c r="N67" s="6"/>
      <c r="O67" s="6"/>
    </row>
    <row r="68" customFormat="false" ht="22.35" hidden="false" customHeight="false" outlineLevel="0" collapsed="false">
      <c r="A68" s="6" t="n">
        <v>67</v>
      </c>
      <c r="B68" s="12" t="n">
        <v>46338</v>
      </c>
      <c r="C68" s="6" t="n">
        <v>10</v>
      </c>
      <c r="D68" s="6" t="s">
        <v>27</v>
      </c>
      <c r="E68" s="6" t="s">
        <v>519</v>
      </c>
      <c r="F68" s="6" t="s">
        <v>520</v>
      </c>
      <c r="G68" s="6" t="s">
        <v>521</v>
      </c>
      <c r="H68" s="6" t="s">
        <v>386</v>
      </c>
      <c r="I68" s="6" t="s">
        <v>387</v>
      </c>
      <c r="J68" s="6" t="s">
        <v>522</v>
      </c>
      <c r="K68" s="6" t="s">
        <v>523</v>
      </c>
      <c r="L68" s="6" t="s">
        <v>524</v>
      </c>
      <c r="M68" s="6" t="n">
        <v>4</v>
      </c>
      <c r="N68" s="6"/>
      <c r="O68" s="6"/>
    </row>
    <row r="69" customFormat="false" ht="22.35" hidden="false" customHeight="false" outlineLevel="0" collapsed="false">
      <c r="A69" s="6" t="n">
        <v>68</v>
      </c>
      <c r="B69" s="12" t="n">
        <v>46339</v>
      </c>
      <c r="C69" s="6" t="n">
        <v>10</v>
      </c>
      <c r="D69" s="6" t="s">
        <v>27</v>
      </c>
      <c r="E69" s="6" t="s">
        <v>525</v>
      </c>
      <c r="F69" s="6" t="s">
        <v>526</v>
      </c>
      <c r="G69" s="6" t="s">
        <v>527</v>
      </c>
      <c r="H69" s="6" t="s">
        <v>528</v>
      </c>
      <c r="I69" s="6" t="s">
        <v>529</v>
      </c>
      <c r="J69" s="6" t="s">
        <v>530</v>
      </c>
      <c r="K69" s="6" t="s">
        <v>531</v>
      </c>
      <c r="L69" s="6" t="s">
        <v>532</v>
      </c>
      <c r="M69" s="6" t="n">
        <v>4</v>
      </c>
      <c r="N69" s="6"/>
      <c r="O69" s="6"/>
    </row>
    <row r="70" customFormat="false" ht="22.35" hidden="false" customHeight="false" outlineLevel="0" collapsed="false">
      <c r="A70" s="6" t="n">
        <v>69</v>
      </c>
      <c r="B70" s="12" t="n">
        <v>46340</v>
      </c>
      <c r="C70" s="6" t="n">
        <v>10</v>
      </c>
      <c r="D70" s="6" t="s">
        <v>27</v>
      </c>
      <c r="E70" s="6" t="s">
        <v>533</v>
      </c>
      <c r="F70" s="6" t="s">
        <v>534</v>
      </c>
      <c r="G70" s="6" t="s">
        <v>535</v>
      </c>
      <c r="H70" s="6" t="s">
        <v>536</v>
      </c>
      <c r="I70" s="6" t="s">
        <v>537</v>
      </c>
      <c r="J70" s="6" t="s">
        <v>538</v>
      </c>
      <c r="K70" s="6" t="s">
        <v>539</v>
      </c>
      <c r="L70" s="6" t="s">
        <v>540</v>
      </c>
      <c r="M70" s="6" t="n">
        <v>4</v>
      </c>
      <c r="N70" s="6"/>
      <c r="O70" s="6"/>
    </row>
    <row r="71" customFormat="false" ht="74.6" hidden="false" customHeight="false" outlineLevel="0" collapsed="false">
      <c r="A71" s="14" t="n">
        <v>70</v>
      </c>
      <c r="B71" s="15" t="n">
        <v>46341</v>
      </c>
      <c r="C71" s="14" t="n">
        <v>10</v>
      </c>
      <c r="D71" s="14" t="s">
        <v>27</v>
      </c>
      <c r="E71" s="14" t="s">
        <v>541</v>
      </c>
      <c r="F71" s="14" t="s">
        <v>201</v>
      </c>
      <c r="G71" s="14" t="s">
        <v>202</v>
      </c>
      <c r="H71" s="14" t="s">
        <v>181</v>
      </c>
      <c r="I71" s="14" t="s">
        <v>182</v>
      </c>
      <c r="J71" s="14" t="s">
        <v>542</v>
      </c>
      <c r="K71" s="14" t="s">
        <v>201</v>
      </c>
      <c r="L71" s="14" t="s">
        <v>204</v>
      </c>
      <c r="M71" s="14" t="n">
        <v>4</v>
      </c>
      <c r="N71" s="14"/>
      <c r="O71" s="14"/>
    </row>
    <row r="72" customFormat="false" ht="22.35" hidden="false" customHeight="false" outlineLevel="0" collapsed="false">
      <c r="A72" s="6" t="n">
        <v>71</v>
      </c>
      <c r="B72" s="12" t="n">
        <v>46342</v>
      </c>
      <c r="C72" s="6" t="n">
        <v>11</v>
      </c>
      <c r="D72" s="6" t="s">
        <v>27</v>
      </c>
      <c r="E72" s="6" t="s">
        <v>543</v>
      </c>
      <c r="F72" s="6" t="s">
        <v>544</v>
      </c>
      <c r="G72" s="6" t="s">
        <v>545</v>
      </c>
      <c r="H72" s="6" t="s">
        <v>181</v>
      </c>
      <c r="I72" s="6" t="s">
        <v>182</v>
      </c>
      <c r="J72" s="6" t="s">
        <v>546</v>
      </c>
      <c r="K72" s="6" t="s">
        <v>547</v>
      </c>
      <c r="L72" s="6" t="s">
        <v>548</v>
      </c>
      <c r="M72" s="6" t="n">
        <v>4</v>
      </c>
      <c r="N72" s="6"/>
      <c r="O72" s="6"/>
    </row>
    <row r="73" customFormat="false" ht="22.35" hidden="false" customHeight="false" outlineLevel="0" collapsed="false">
      <c r="A73" s="6" t="n">
        <v>72</v>
      </c>
      <c r="B73" s="12" t="n">
        <v>46343</v>
      </c>
      <c r="C73" s="6" t="n">
        <v>11</v>
      </c>
      <c r="D73" s="6" t="s">
        <v>27</v>
      </c>
      <c r="E73" s="6" t="s">
        <v>549</v>
      </c>
      <c r="F73" s="6" t="s">
        <v>550</v>
      </c>
      <c r="G73" s="6" t="s">
        <v>551</v>
      </c>
      <c r="H73" s="6" t="s">
        <v>181</v>
      </c>
      <c r="I73" s="6" t="s">
        <v>182</v>
      </c>
      <c r="J73" s="6" t="s">
        <v>552</v>
      </c>
      <c r="K73" s="6" t="s">
        <v>553</v>
      </c>
      <c r="L73" s="6" t="s">
        <v>554</v>
      </c>
      <c r="M73" s="6" t="n">
        <v>4</v>
      </c>
      <c r="N73" s="6"/>
      <c r="O73" s="6"/>
    </row>
    <row r="74" customFormat="false" ht="22.35" hidden="false" customHeight="false" outlineLevel="0" collapsed="false">
      <c r="A74" s="6" t="n">
        <v>73</v>
      </c>
      <c r="B74" s="12" t="n">
        <v>46344</v>
      </c>
      <c r="C74" s="6" t="n">
        <v>11</v>
      </c>
      <c r="D74" s="6" t="s">
        <v>27</v>
      </c>
      <c r="E74" s="6" t="s">
        <v>555</v>
      </c>
      <c r="F74" s="6" t="s">
        <v>556</v>
      </c>
      <c r="G74" s="6" t="s">
        <v>551</v>
      </c>
      <c r="H74" s="6" t="s">
        <v>181</v>
      </c>
      <c r="I74" s="6" t="s">
        <v>182</v>
      </c>
      <c r="J74" s="6" t="s">
        <v>557</v>
      </c>
      <c r="K74" s="6" t="s">
        <v>558</v>
      </c>
      <c r="L74" s="6" t="s">
        <v>216</v>
      </c>
      <c r="M74" s="6" t="n">
        <v>4</v>
      </c>
      <c r="N74" s="6"/>
      <c r="O74" s="6"/>
    </row>
    <row r="75" customFormat="false" ht="22.35" hidden="false" customHeight="false" outlineLevel="0" collapsed="false">
      <c r="A75" s="6" t="n">
        <v>74</v>
      </c>
      <c r="B75" s="12" t="n">
        <v>46345</v>
      </c>
      <c r="C75" s="6" t="n">
        <v>11</v>
      </c>
      <c r="D75" s="6" t="s">
        <v>27</v>
      </c>
      <c r="E75" s="6" t="s">
        <v>559</v>
      </c>
      <c r="F75" s="6" t="s">
        <v>560</v>
      </c>
      <c r="G75" s="6" t="s">
        <v>551</v>
      </c>
      <c r="H75" s="6" t="s">
        <v>181</v>
      </c>
      <c r="I75" s="6" t="s">
        <v>182</v>
      </c>
      <c r="J75" s="6" t="s">
        <v>561</v>
      </c>
      <c r="K75" s="6" t="s">
        <v>562</v>
      </c>
      <c r="L75" s="6" t="s">
        <v>447</v>
      </c>
      <c r="M75" s="6" t="n">
        <v>4</v>
      </c>
      <c r="N75" s="6"/>
      <c r="O75" s="6"/>
    </row>
    <row r="76" customFormat="false" ht="22.35" hidden="false" customHeight="false" outlineLevel="0" collapsed="false">
      <c r="A76" s="6" t="n">
        <v>75</v>
      </c>
      <c r="B76" s="12" t="n">
        <v>46346</v>
      </c>
      <c r="C76" s="6" t="n">
        <v>11</v>
      </c>
      <c r="D76" s="6" t="s">
        <v>27</v>
      </c>
      <c r="E76" s="6" t="s">
        <v>563</v>
      </c>
      <c r="F76" s="6" t="s">
        <v>564</v>
      </c>
      <c r="G76" s="6" t="s">
        <v>551</v>
      </c>
      <c r="H76" s="6" t="s">
        <v>181</v>
      </c>
      <c r="I76" s="6" t="s">
        <v>182</v>
      </c>
      <c r="J76" s="6" t="s">
        <v>565</v>
      </c>
      <c r="K76" s="6" t="s">
        <v>566</v>
      </c>
      <c r="L76" s="6" t="s">
        <v>216</v>
      </c>
      <c r="M76" s="6" t="n">
        <v>4</v>
      </c>
      <c r="N76" s="6"/>
      <c r="O76" s="6"/>
    </row>
    <row r="77" customFormat="false" ht="22.35" hidden="false" customHeight="false" outlineLevel="0" collapsed="false">
      <c r="A77" s="6" t="n">
        <v>76</v>
      </c>
      <c r="B77" s="12" t="n">
        <v>46347</v>
      </c>
      <c r="C77" s="6" t="n">
        <v>11</v>
      </c>
      <c r="D77" s="6" t="s">
        <v>27</v>
      </c>
      <c r="E77" s="6" t="s">
        <v>567</v>
      </c>
      <c r="F77" s="6" t="s">
        <v>568</v>
      </c>
      <c r="G77" s="6" t="s">
        <v>551</v>
      </c>
      <c r="H77" s="6" t="s">
        <v>181</v>
      </c>
      <c r="I77" s="6" t="s">
        <v>182</v>
      </c>
      <c r="J77" s="6" t="s">
        <v>569</v>
      </c>
      <c r="K77" s="6" t="s">
        <v>570</v>
      </c>
      <c r="L77" s="6" t="s">
        <v>571</v>
      </c>
      <c r="M77" s="6" t="n">
        <v>4</v>
      </c>
      <c r="N77" s="6"/>
      <c r="O77" s="6"/>
    </row>
    <row r="78" customFormat="false" ht="64.15" hidden="false" customHeight="false" outlineLevel="0" collapsed="false">
      <c r="A78" s="14" t="n">
        <v>77</v>
      </c>
      <c r="B78" s="15" t="n">
        <v>46348</v>
      </c>
      <c r="C78" s="14" t="n">
        <v>11</v>
      </c>
      <c r="D78" s="14" t="s">
        <v>27</v>
      </c>
      <c r="E78" s="14" t="s">
        <v>572</v>
      </c>
      <c r="F78" s="14" t="s">
        <v>201</v>
      </c>
      <c r="G78" s="14" t="s">
        <v>202</v>
      </c>
      <c r="H78" s="14" t="s">
        <v>181</v>
      </c>
      <c r="I78" s="14" t="s">
        <v>182</v>
      </c>
      <c r="J78" s="14" t="s">
        <v>573</v>
      </c>
      <c r="K78" s="14" t="s">
        <v>201</v>
      </c>
      <c r="L78" s="14" t="s">
        <v>204</v>
      </c>
      <c r="M78" s="14" t="n">
        <v>4</v>
      </c>
      <c r="N78" s="14"/>
      <c r="O78" s="14"/>
    </row>
    <row r="79" customFormat="false" ht="22.35" hidden="false" customHeight="false" outlineLevel="0" collapsed="false">
      <c r="A79" s="6" t="n">
        <v>78</v>
      </c>
      <c r="B79" s="12" t="n">
        <v>46349</v>
      </c>
      <c r="C79" s="6" t="n">
        <v>12</v>
      </c>
      <c r="D79" s="6" t="s">
        <v>27</v>
      </c>
      <c r="E79" s="6" t="s">
        <v>574</v>
      </c>
      <c r="F79" s="6" t="s">
        <v>575</v>
      </c>
      <c r="G79" s="6" t="s">
        <v>551</v>
      </c>
      <c r="H79" s="6" t="s">
        <v>181</v>
      </c>
      <c r="I79" s="6" t="s">
        <v>182</v>
      </c>
      <c r="J79" s="6" t="s">
        <v>576</v>
      </c>
      <c r="K79" s="6" t="s">
        <v>577</v>
      </c>
      <c r="L79" s="6" t="s">
        <v>578</v>
      </c>
      <c r="M79" s="6" t="n">
        <v>4</v>
      </c>
      <c r="N79" s="6"/>
      <c r="O79" s="6"/>
    </row>
    <row r="80" customFormat="false" ht="22.35" hidden="false" customHeight="false" outlineLevel="0" collapsed="false">
      <c r="A80" s="6" t="n">
        <v>79</v>
      </c>
      <c r="B80" s="12" t="n">
        <v>46350</v>
      </c>
      <c r="C80" s="6" t="n">
        <v>12</v>
      </c>
      <c r="D80" s="6" t="s">
        <v>27</v>
      </c>
      <c r="E80" s="6" t="s">
        <v>579</v>
      </c>
      <c r="F80" s="6" t="s">
        <v>580</v>
      </c>
      <c r="G80" s="6" t="s">
        <v>581</v>
      </c>
      <c r="H80" s="6" t="s">
        <v>448</v>
      </c>
      <c r="I80" s="6" t="s">
        <v>451</v>
      </c>
      <c r="J80" s="6" t="s">
        <v>582</v>
      </c>
      <c r="K80" s="6" t="s">
        <v>583</v>
      </c>
      <c r="L80" s="6" t="s">
        <v>454</v>
      </c>
      <c r="M80" s="6" t="n">
        <v>4</v>
      </c>
      <c r="N80" s="6"/>
      <c r="O80" s="6"/>
    </row>
    <row r="81" customFormat="false" ht="22.35" hidden="false" customHeight="false" outlineLevel="0" collapsed="false">
      <c r="A81" s="6" t="n">
        <v>80</v>
      </c>
      <c r="B81" s="12" t="n">
        <v>46351</v>
      </c>
      <c r="C81" s="6" t="n">
        <v>12</v>
      </c>
      <c r="D81" s="6" t="s">
        <v>27</v>
      </c>
      <c r="E81" s="6" t="s">
        <v>584</v>
      </c>
      <c r="F81" s="6" t="s">
        <v>585</v>
      </c>
      <c r="G81" s="6" t="s">
        <v>551</v>
      </c>
      <c r="H81" s="6" t="s">
        <v>181</v>
      </c>
      <c r="I81" s="6" t="s">
        <v>182</v>
      </c>
      <c r="J81" s="6" t="s">
        <v>586</v>
      </c>
      <c r="K81" s="6" t="s">
        <v>587</v>
      </c>
      <c r="L81" s="6" t="s">
        <v>588</v>
      </c>
      <c r="M81" s="6" t="n">
        <v>4</v>
      </c>
      <c r="N81" s="6"/>
      <c r="O81" s="6"/>
    </row>
    <row r="82" customFormat="false" ht="22.35" hidden="false" customHeight="false" outlineLevel="0" collapsed="false">
      <c r="A82" s="6" t="n">
        <v>81</v>
      </c>
      <c r="B82" s="12" t="n">
        <v>46352</v>
      </c>
      <c r="C82" s="6" t="n">
        <v>12</v>
      </c>
      <c r="D82" s="6" t="s">
        <v>27</v>
      </c>
      <c r="E82" s="6" t="s">
        <v>589</v>
      </c>
      <c r="F82" s="6" t="s">
        <v>590</v>
      </c>
      <c r="G82" s="6" t="s">
        <v>551</v>
      </c>
      <c r="H82" s="6" t="s">
        <v>181</v>
      </c>
      <c r="I82" s="6" t="s">
        <v>182</v>
      </c>
      <c r="J82" s="6" t="s">
        <v>591</v>
      </c>
      <c r="K82" s="6" t="s">
        <v>592</v>
      </c>
      <c r="L82" s="6" t="s">
        <v>593</v>
      </c>
      <c r="M82" s="6" t="n">
        <v>4</v>
      </c>
      <c r="N82" s="6"/>
      <c r="O82" s="6"/>
    </row>
    <row r="83" customFormat="false" ht="22.35" hidden="false" customHeight="false" outlineLevel="0" collapsed="false">
      <c r="A83" s="6" t="n">
        <v>82</v>
      </c>
      <c r="B83" s="12" t="n">
        <v>46353</v>
      </c>
      <c r="C83" s="6" t="n">
        <v>12</v>
      </c>
      <c r="D83" s="6" t="s">
        <v>27</v>
      </c>
      <c r="E83" s="6" t="s">
        <v>594</v>
      </c>
      <c r="F83" s="6" t="s">
        <v>595</v>
      </c>
      <c r="G83" s="6" t="s">
        <v>596</v>
      </c>
      <c r="H83" s="6" t="s">
        <v>597</v>
      </c>
      <c r="I83" s="6" t="s">
        <v>598</v>
      </c>
      <c r="J83" s="6" t="s">
        <v>599</v>
      </c>
      <c r="K83" s="6" t="s">
        <v>600</v>
      </c>
      <c r="L83" s="6" t="s">
        <v>601</v>
      </c>
      <c r="M83" s="6" t="n">
        <v>4</v>
      </c>
      <c r="N83" s="6"/>
      <c r="O83" s="6"/>
    </row>
    <row r="84" customFormat="false" ht="22.35" hidden="false" customHeight="false" outlineLevel="0" collapsed="false">
      <c r="A84" s="6" t="n">
        <v>83</v>
      </c>
      <c r="B84" s="12" t="n">
        <v>46354</v>
      </c>
      <c r="C84" s="6" t="n">
        <v>12</v>
      </c>
      <c r="D84" s="6" t="s">
        <v>27</v>
      </c>
      <c r="E84" s="6" t="s">
        <v>602</v>
      </c>
      <c r="F84" s="6" t="s">
        <v>603</v>
      </c>
      <c r="G84" s="6" t="s">
        <v>551</v>
      </c>
      <c r="H84" s="6" t="s">
        <v>181</v>
      </c>
      <c r="I84" s="6" t="s">
        <v>182</v>
      </c>
      <c r="J84" s="6" t="s">
        <v>604</v>
      </c>
      <c r="K84" s="6" t="s">
        <v>605</v>
      </c>
      <c r="L84" s="6" t="s">
        <v>606</v>
      </c>
      <c r="M84" s="6" t="n">
        <v>4</v>
      </c>
      <c r="N84" s="6"/>
      <c r="O84" s="6"/>
    </row>
    <row r="85" customFormat="false" ht="64.15" hidden="false" customHeight="false" outlineLevel="0" collapsed="false">
      <c r="A85" s="4" t="n">
        <v>84</v>
      </c>
      <c r="B85" s="13" t="n">
        <v>46355</v>
      </c>
      <c r="C85" s="4" t="n">
        <v>12</v>
      </c>
      <c r="D85" s="4" t="s">
        <v>27</v>
      </c>
      <c r="E85" s="4" t="s">
        <v>607</v>
      </c>
      <c r="F85" s="4" t="s">
        <v>201</v>
      </c>
      <c r="G85" s="4" t="s">
        <v>202</v>
      </c>
      <c r="H85" s="4" t="s">
        <v>181</v>
      </c>
      <c r="I85" s="4" t="s">
        <v>182</v>
      </c>
      <c r="J85" s="4" t="s">
        <v>608</v>
      </c>
      <c r="K85" s="4" t="s">
        <v>201</v>
      </c>
      <c r="L85" s="4" t="s">
        <v>204</v>
      </c>
      <c r="M85" s="4" t="n">
        <v>4</v>
      </c>
      <c r="N85" s="4" t="s">
        <v>39</v>
      </c>
      <c r="O85" s="4"/>
    </row>
    <row r="86" customFormat="false" ht="22.35" hidden="false" customHeight="false" outlineLevel="0" collapsed="false">
      <c r="A86" s="6" t="n">
        <v>85</v>
      </c>
      <c r="B86" s="12" t="n">
        <v>46356</v>
      </c>
      <c r="C86" s="6" t="n">
        <v>13</v>
      </c>
      <c r="D86" s="6" t="s">
        <v>41</v>
      </c>
      <c r="E86" s="6" t="s">
        <v>609</v>
      </c>
      <c r="F86" s="6" t="s">
        <v>610</v>
      </c>
      <c r="G86" s="6" t="s">
        <v>611</v>
      </c>
      <c r="H86" s="6" t="s">
        <v>612</v>
      </c>
      <c r="I86" s="6" t="s">
        <v>613</v>
      </c>
      <c r="J86" s="6" t="s">
        <v>614</v>
      </c>
      <c r="K86" s="6" t="s">
        <v>615</v>
      </c>
      <c r="L86" s="6" t="s">
        <v>216</v>
      </c>
      <c r="M86" s="6" t="n">
        <v>4</v>
      </c>
      <c r="N86" s="6"/>
      <c r="O86" s="6"/>
    </row>
    <row r="87" customFormat="false" ht="22.35" hidden="false" customHeight="false" outlineLevel="0" collapsed="false">
      <c r="A87" s="6" t="n">
        <v>86</v>
      </c>
      <c r="B87" s="12" t="n">
        <v>46357</v>
      </c>
      <c r="C87" s="6" t="n">
        <v>13</v>
      </c>
      <c r="D87" s="6" t="s">
        <v>41</v>
      </c>
      <c r="E87" s="6" t="s">
        <v>616</v>
      </c>
      <c r="F87" s="6" t="s">
        <v>617</v>
      </c>
      <c r="G87" s="6" t="s">
        <v>618</v>
      </c>
      <c r="H87" s="6" t="s">
        <v>612</v>
      </c>
      <c r="I87" s="6" t="s">
        <v>613</v>
      </c>
      <c r="J87" s="6" t="s">
        <v>619</v>
      </c>
      <c r="K87" s="6" t="s">
        <v>620</v>
      </c>
      <c r="L87" s="6" t="s">
        <v>621</v>
      </c>
      <c r="M87" s="6" t="n">
        <v>4</v>
      </c>
      <c r="N87" s="6"/>
      <c r="O87" s="6"/>
    </row>
    <row r="88" customFormat="false" ht="22.35" hidden="false" customHeight="false" outlineLevel="0" collapsed="false">
      <c r="A88" s="6" t="n">
        <v>87</v>
      </c>
      <c r="B88" s="12" t="n">
        <v>46358</v>
      </c>
      <c r="C88" s="6" t="n">
        <v>13</v>
      </c>
      <c r="D88" s="6" t="s">
        <v>41</v>
      </c>
      <c r="E88" s="6" t="s">
        <v>622</v>
      </c>
      <c r="F88" s="6" t="s">
        <v>623</v>
      </c>
      <c r="G88" s="6" t="s">
        <v>624</v>
      </c>
      <c r="H88" s="6" t="s">
        <v>612</v>
      </c>
      <c r="I88" s="6" t="s">
        <v>613</v>
      </c>
      <c r="J88" s="6" t="s">
        <v>625</v>
      </c>
      <c r="K88" s="6" t="s">
        <v>626</v>
      </c>
      <c r="L88" s="6" t="s">
        <v>216</v>
      </c>
      <c r="M88" s="6" t="n">
        <v>4</v>
      </c>
      <c r="N88" s="6"/>
      <c r="O88" s="6"/>
    </row>
    <row r="89" customFormat="false" ht="22.35" hidden="false" customHeight="false" outlineLevel="0" collapsed="false">
      <c r="A89" s="6" t="n">
        <v>88</v>
      </c>
      <c r="B89" s="12" t="n">
        <v>46359</v>
      </c>
      <c r="C89" s="6" t="n">
        <v>13</v>
      </c>
      <c r="D89" s="6" t="s">
        <v>41</v>
      </c>
      <c r="E89" s="6" t="s">
        <v>627</v>
      </c>
      <c r="F89" s="6" t="s">
        <v>628</v>
      </c>
      <c r="G89" s="6" t="s">
        <v>629</v>
      </c>
      <c r="H89" s="6" t="s">
        <v>612</v>
      </c>
      <c r="I89" s="6" t="s">
        <v>613</v>
      </c>
      <c r="J89" s="6" t="s">
        <v>630</v>
      </c>
      <c r="K89" s="6" t="s">
        <v>631</v>
      </c>
      <c r="L89" s="6" t="s">
        <v>216</v>
      </c>
      <c r="M89" s="6" t="n">
        <v>4</v>
      </c>
      <c r="N89" s="6"/>
      <c r="O89" s="6"/>
    </row>
    <row r="90" customFormat="false" ht="22.35" hidden="false" customHeight="false" outlineLevel="0" collapsed="false">
      <c r="A90" s="6" t="n">
        <v>89</v>
      </c>
      <c r="B90" s="12" t="n">
        <v>46360</v>
      </c>
      <c r="C90" s="6" t="n">
        <v>13</v>
      </c>
      <c r="D90" s="6" t="s">
        <v>41</v>
      </c>
      <c r="E90" s="6" t="s">
        <v>632</v>
      </c>
      <c r="F90" s="6" t="s">
        <v>633</v>
      </c>
      <c r="G90" s="6" t="s">
        <v>634</v>
      </c>
      <c r="H90" s="6" t="s">
        <v>612</v>
      </c>
      <c r="I90" s="6" t="s">
        <v>613</v>
      </c>
      <c r="J90" s="6" t="s">
        <v>635</v>
      </c>
      <c r="K90" s="6" t="s">
        <v>636</v>
      </c>
      <c r="L90" s="6" t="s">
        <v>216</v>
      </c>
      <c r="M90" s="6" t="n">
        <v>4</v>
      </c>
      <c r="N90" s="6"/>
      <c r="O90" s="6"/>
    </row>
    <row r="91" customFormat="false" ht="22.35" hidden="false" customHeight="false" outlineLevel="0" collapsed="false">
      <c r="A91" s="6" t="n">
        <v>90</v>
      </c>
      <c r="B91" s="12" t="n">
        <v>46361</v>
      </c>
      <c r="C91" s="6" t="n">
        <v>13</v>
      </c>
      <c r="D91" s="6" t="s">
        <v>41</v>
      </c>
      <c r="E91" s="6" t="s">
        <v>637</v>
      </c>
      <c r="F91" s="6" t="s">
        <v>638</v>
      </c>
      <c r="G91" s="6" t="s">
        <v>639</v>
      </c>
      <c r="H91" s="6" t="s">
        <v>612</v>
      </c>
      <c r="I91" s="6" t="s">
        <v>613</v>
      </c>
      <c r="J91" s="6" t="s">
        <v>640</v>
      </c>
      <c r="K91" s="6" t="s">
        <v>641</v>
      </c>
      <c r="L91" s="6" t="s">
        <v>642</v>
      </c>
      <c r="M91" s="6" t="n">
        <v>4</v>
      </c>
      <c r="N91" s="6"/>
      <c r="O91" s="6"/>
    </row>
    <row r="92" customFormat="false" ht="64.15" hidden="false" customHeight="false" outlineLevel="0" collapsed="false">
      <c r="A92" s="14" t="n">
        <v>91</v>
      </c>
      <c r="B92" s="15" t="n">
        <v>46362</v>
      </c>
      <c r="C92" s="14" t="n">
        <v>13</v>
      </c>
      <c r="D92" s="14" t="s">
        <v>41</v>
      </c>
      <c r="E92" s="14" t="s">
        <v>643</v>
      </c>
      <c r="F92" s="14" t="s">
        <v>201</v>
      </c>
      <c r="G92" s="14" t="s">
        <v>202</v>
      </c>
      <c r="H92" s="14" t="s">
        <v>181</v>
      </c>
      <c r="I92" s="14" t="s">
        <v>182</v>
      </c>
      <c r="J92" s="14" t="s">
        <v>644</v>
      </c>
      <c r="K92" s="14" t="s">
        <v>201</v>
      </c>
      <c r="L92" s="14" t="s">
        <v>204</v>
      </c>
      <c r="M92" s="14" t="n">
        <v>4</v>
      </c>
      <c r="N92" s="14"/>
      <c r="O92" s="14"/>
    </row>
    <row r="93" customFormat="false" ht="22.35" hidden="false" customHeight="false" outlineLevel="0" collapsed="false">
      <c r="A93" s="6" t="n">
        <v>92</v>
      </c>
      <c r="B93" s="12" t="n">
        <v>46363</v>
      </c>
      <c r="C93" s="6" t="n">
        <v>14</v>
      </c>
      <c r="D93" s="6" t="s">
        <v>41</v>
      </c>
      <c r="E93" s="6" t="s">
        <v>645</v>
      </c>
      <c r="F93" s="6" t="s">
        <v>646</v>
      </c>
      <c r="G93" s="6" t="s">
        <v>647</v>
      </c>
      <c r="H93" s="6" t="s">
        <v>174</v>
      </c>
      <c r="I93" s="6" t="s">
        <v>175</v>
      </c>
      <c r="J93" s="6" t="s">
        <v>648</v>
      </c>
      <c r="K93" s="6" t="s">
        <v>649</v>
      </c>
      <c r="L93" s="6" t="s">
        <v>216</v>
      </c>
      <c r="M93" s="6" t="n">
        <v>3</v>
      </c>
      <c r="N93" s="6"/>
      <c r="O93" s="6"/>
    </row>
    <row r="94" customFormat="false" ht="22.35" hidden="false" customHeight="false" outlineLevel="0" collapsed="false">
      <c r="A94" s="6" t="n">
        <v>93</v>
      </c>
      <c r="B94" s="12" t="n">
        <v>46364</v>
      </c>
      <c r="C94" s="6" t="n">
        <v>14</v>
      </c>
      <c r="D94" s="6" t="s">
        <v>41</v>
      </c>
      <c r="E94" s="6" t="s">
        <v>650</v>
      </c>
      <c r="F94" s="6" t="s">
        <v>651</v>
      </c>
      <c r="G94" s="6" t="s">
        <v>652</v>
      </c>
      <c r="H94" s="6" t="s">
        <v>174</v>
      </c>
      <c r="I94" s="6" t="s">
        <v>175</v>
      </c>
      <c r="J94" s="6" t="s">
        <v>653</v>
      </c>
      <c r="K94" s="6" t="s">
        <v>654</v>
      </c>
      <c r="L94" s="6" t="s">
        <v>222</v>
      </c>
      <c r="M94" s="6" t="n">
        <v>3</v>
      </c>
      <c r="N94" s="6"/>
      <c r="O94" s="6"/>
    </row>
    <row r="95" customFormat="false" ht="32.8" hidden="false" customHeight="false" outlineLevel="0" collapsed="false">
      <c r="A95" s="6" t="n">
        <v>94</v>
      </c>
      <c r="B95" s="12" t="n">
        <v>46365</v>
      </c>
      <c r="C95" s="6" t="n">
        <v>14</v>
      </c>
      <c r="D95" s="6" t="s">
        <v>41</v>
      </c>
      <c r="E95" s="6" t="s">
        <v>655</v>
      </c>
      <c r="F95" s="6" t="s">
        <v>656</v>
      </c>
      <c r="G95" s="6" t="s">
        <v>657</v>
      </c>
      <c r="H95" s="6" t="s">
        <v>174</v>
      </c>
      <c r="I95" s="6" t="s">
        <v>175</v>
      </c>
      <c r="J95" s="6" t="s">
        <v>658</v>
      </c>
      <c r="K95" s="6" t="s">
        <v>659</v>
      </c>
      <c r="L95" s="6" t="s">
        <v>660</v>
      </c>
      <c r="M95" s="6" t="n">
        <v>3</v>
      </c>
      <c r="N95" s="6"/>
      <c r="O95" s="6"/>
    </row>
    <row r="96" customFormat="false" ht="22.35" hidden="false" customHeight="false" outlineLevel="0" collapsed="false">
      <c r="A96" s="6" t="n">
        <v>95</v>
      </c>
      <c r="B96" s="12" t="n">
        <v>46366</v>
      </c>
      <c r="C96" s="6" t="n">
        <v>14</v>
      </c>
      <c r="D96" s="6" t="s">
        <v>41</v>
      </c>
      <c r="E96" s="6" t="s">
        <v>661</v>
      </c>
      <c r="F96" s="6" t="s">
        <v>662</v>
      </c>
      <c r="G96" s="6" t="s">
        <v>663</v>
      </c>
      <c r="H96" s="6" t="s">
        <v>664</v>
      </c>
      <c r="I96" s="6" t="s">
        <v>665</v>
      </c>
      <c r="J96" s="6" t="s">
        <v>666</v>
      </c>
      <c r="K96" s="6" t="s">
        <v>667</v>
      </c>
      <c r="L96" s="6" t="s">
        <v>447</v>
      </c>
      <c r="M96" s="6" t="n">
        <v>3</v>
      </c>
      <c r="N96" s="6"/>
      <c r="O96" s="6"/>
    </row>
    <row r="97" customFormat="false" ht="22.35" hidden="false" customHeight="false" outlineLevel="0" collapsed="false">
      <c r="A97" s="6" t="n">
        <v>96</v>
      </c>
      <c r="B97" s="12" t="n">
        <v>46367</v>
      </c>
      <c r="C97" s="6" t="n">
        <v>14</v>
      </c>
      <c r="D97" s="6" t="s">
        <v>41</v>
      </c>
      <c r="E97" s="6" t="s">
        <v>668</v>
      </c>
      <c r="F97" s="6" t="s">
        <v>669</v>
      </c>
      <c r="G97" s="6" t="s">
        <v>670</v>
      </c>
      <c r="H97" s="6" t="s">
        <v>670</v>
      </c>
      <c r="I97" s="6" t="s">
        <v>671</v>
      </c>
      <c r="J97" s="6" t="s">
        <v>672</v>
      </c>
      <c r="K97" s="6" t="s">
        <v>673</v>
      </c>
      <c r="L97" s="6" t="s">
        <v>578</v>
      </c>
      <c r="M97" s="6" t="n">
        <v>3</v>
      </c>
      <c r="N97" s="6"/>
      <c r="O97" s="6"/>
    </row>
    <row r="98" customFormat="false" ht="22.35" hidden="false" customHeight="false" outlineLevel="0" collapsed="false">
      <c r="A98" s="6" t="n">
        <v>97</v>
      </c>
      <c r="B98" s="12" t="n">
        <v>46368</v>
      </c>
      <c r="C98" s="6" t="n">
        <v>14</v>
      </c>
      <c r="D98" s="6" t="s">
        <v>41</v>
      </c>
      <c r="E98" s="6" t="s">
        <v>674</v>
      </c>
      <c r="F98" s="6" t="s">
        <v>675</v>
      </c>
      <c r="G98" s="6" t="s">
        <v>676</v>
      </c>
      <c r="H98" s="6" t="s">
        <v>612</v>
      </c>
      <c r="I98" s="6" t="s">
        <v>613</v>
      </c>
      <c r="J98" s="6" t="s">
        <v>677</v>
      </c>
      <c r="K98" s="6" t="s">
        <v>678</v>
      </c>
      <c r="L98" s="6" t="s">
        <v>460</v>
      </c>
      <c r="M98" s="6" t="n">
        <v>3</v>
      </c>
      <c r="N98" s="6"/>
      <c r="O98" s="6"/>
    </row>
    <row r="99" customFormat="false" ht="74.6" hidden="false" customHeight="false" outlineLevel="0" collapsed="false">
      <c r="A99" s="14" t="n">
        <v>98</v>
      </c>
      <c r="B99" s="15" t="n">
        <v>46369</v>
      </c>
      <c r="C99" s="14" t="n">
        <v>14</v>
      </c>
      <c r="D99" s="14" t="s">
        <v>41</v>
      </c>
      <c r="E99" s="14" t="s">
        <v>679</v>
      </c>
      <c r="F99" s="14" t="s">
        <v>201</v>
      </c>
      <c r="G99" s="14" t="s">
        <v>202</v>
      </c>
      <c r="H99" s="14" t="s">
        <v>181</v>
      </c>
      <c r="I99" s="14" t="s">
        <v>182</v>
      </c>
      <c r="J99" s="14" t="s">
        <v>680</v>
      </c>
      <c r="K99" s="14" t="s">
        <v>201</v>
      </c>
      <c r="L99" s="14" t="s">
        <v>204</v>
      </c>
      <c r="M99" s="14" t="n">
        <v>3</v>
      </c>
      <c r="N99" s="14"/>
      <c r="O99" s="14"/>
    </row>
    <row r="100" customFormat="false" ht="22.35" hidden="false" customHeight="false" outlineLevel="0" collapsed="false">
      <c r="A100" s="6" t="n">
        <v>99</v>
      </c>
      <c r="B100" s="12" t="n">
        <v>46370</v>
      </c>
      <c r="C100" s="6" t="n">
        <v>15</v>
      </c>
      <c r="D100" s="6" t="s">
        <v>41</v>
      </c>
      <c r="E100" s="6" t="s">
        <v>681</v>
      </c>
      <c r="F100" s="6" t="s">
        <v>682</v>
      </c>
      <c r="G100" s="6" t="s">
        <v>683</v>
      </c>
      <c r="H100" s="6" t="s">
        <v>528</v>
      </c>
      <c r="I100" s="6" t="s">
        <v>529</v>
      </c>
      <c r="J100" s="6" t="s">
        <v>684</v>
      </c>
      <c r="K100" s="6" t="s">
        <v>685</v>
      </c>
      <c r="L100" s="6" t="s">
        <v>454</v>
      </c>
      <c r="M100" s="6" t="n">
        <v>4</v>
      </c>
      <c r="N100" s="6"/>
      <c r="O100" s="6"/>
    </row>
    <row r="101" customFormat="false" ht="22.35" hidden="false" customHeight="false" outlineLevel="0" collapsed="false">
      <c r="A101" s="6" t="n">
        <v>100</v>
      </c>
      <c r="B101" s="12" t="n">
        <v>46371</v>
      </c>
      <c r="C101" s="6" t="n">
        <v>15</v>
      </c>
      <c r="D101" s="6" t="s">
        <v>41</v>
      </c>
      <c r="E101" s="6" t="s">
        <v>686</v>
      </c>
      <c r="F101" s="6" t="s">
        <v>687</v>
      </c>
      <c r="G101" s="6" t="s">
        <v>688</v>
      </c>
      <c r="H101" s="6" t="s">
        <v>528</v>
      </c>
      <c r="I101" s="6" t="s">
        <v>529</v>
      </c>
      <c r="J101" s="6" t="s">
        <v>689</v>
      </c>
      <c r="K101" s="6" t="s">
        <v>690</v>
      </c>
      <c r="L101" s="6" t="s">
        <v>216</v>
      </c>
      <c r="M101" s="6" t="n">
        <v>4</v>
      </c>
      <c r="N101" s="6"/>
      <c r="O101" s="6"/>
    </row>
    <row r="102" customFormat="false" ht="22.35" hidden="false" customHeight="false" outlineLevel="0" collapsed="false">
      <c r="A102" s="6" t="n">
        <v>101</v>
      </c>
      <c r="B102" s="12" t="n">
        <v>46372</v>
      </c>
      <c r="C102" s="6" t="n">
        <v>15</v>
      </c>
      <c r="D102" s="6" t="s">
        <v>41</v>
      </c>
      <c r="E102" s="6" t="s">
        <v>691</v>
      </c>
      <c r="F102" s="6" t="s">
        <v>692</v>
      </c>
      <c r="G102" s="6" t="s">
        <v>551</v>
      </c>
      <c r="H102" s="6" t="s">
        <v>181</v>
      </c>
      <c r="I102" s="6" t="s">
        <v>182</v>
      </c>
      <c r="J102" s="6" t="s">
        <v>693</v>
      </c>
      <c r="K102" s="6" t="s">
        <v>694</v>
      </c>
      <c r="L102" s="6" t="s">
        <v>447</v>
      </c>
      <c r="M102" s="6" t="n">
        <v>4</v>
      </c>
      <c r="N102" s="6"/>
      <c r="O102" s="6"/>
    </row>
    <row r="103" customFormat="false" ht="22.35" hidden="false" customHeight="false" outlineLevel="0" collapsed="false">
      <c r="A103" s="6" t="n">
        <v>102</v>
      </c>
      <c r="B103" s="12" t="n">
        <v>46373</v>
      </c>
      <c r="C103" s="6" t="n">
        <v>15</v>
      </c>
      <c r="D103" s="6" t="s">
        <v>41</v>
      </c>
      <c r="E103" s="6" t="s">
        <v>695</v>
      </c>
      <c r="F103" s="6" t="s">
        <v>696</v>
      </c>
      <c r="G103" s="6" t="s">
        <v>697</v>
      </c>
      <c r="H103" s="6" t="s">
        <v>528</v>
      </c>
      <c r="I103" s="6" t="s">
        <v>529</v>
      </c>
      <c r="J103" s="6" t="s">
        <v>698</v>
      </c>
      <c r="K103" s="6" t="s">
        <v>699</v>
      </c>
      <c r="L103" s="6" t="s">
        <v>700</v>
      </c>
      <c r="M103" s="6" t="n">
        <v>4</v>
      </c>
      <c r="N103" s="6"/>
      <c r="O103" s="6"/>
    </row>
    <row r="104" customFormat="false" ht="22.35" hidden="false" customHeight="false" outlineLevel="0" collapsed="false">
      <c r="A104" s="6" t="n">
        <v>103</v>
      </c>
      <c r="B104" s="12" t="n">
        <v>46374</v>
      </c>
      <c r="C104" s="6" t="n">
        <v>15</v>
      </c>
      <c r="D104" s="6" t="s">
        <v>41</v>
      </c>
      <c r="E104" s="6" t="s">
        <v>701</v>
      </c>
      <c r="F104" s="6" t="s">
        <v>702</v>
      </c>
      <c r="G104" s="6" t="s">
        <v>551</v>
      </c>
      <c r="H104" s="6" t="s">
        <v>181</v>
      </c>
      <c r="I104" s="6" t="s">
        <v>182</v>
      </c>
      <c r="J104" s="6" t="s">
        <v>703</v>
      </c>
      <c r="K104" s="6" t="s">
        <v>704</v>
      </c>
      <c r="L104" s="6" t="s">
        <v>705</v>
      </c>
      <c r="M104" s="6" t="n">
        <v>4</v>
      </c>
      <c r="N104" s="6"/>
      <c r="O104" s="6"/>
    </row>
    <row r="105" customFormat="false" ht="22.35" hidden="false" customHeight="false" outlineLevel="0" collapsed="false">
      <c r="A105" s="6" t="n">
        <v>104</v>
      </c>
      <c r="B105" s="12" t="n">
        <v>46375</v>
      </c>
      <c r="C105" s="6" t="n">
        <v>15</v>
      </c>
      <c r="D105" s="6" t="s">
        <v>41</v>
      </c>
      <c r="E105" s="6" t="s">
        <v>706</v>
      </c>
      <c r="F105" s="6" t="s">
        <v>707</v>
      </c>
      <c r="G105" s="6" t="s">
        <v>708</v>
      </c>
      <c r="H105" s="6" t="s">
        <v>174</v>
      </c>
      <c r="I105" s="6" t="s">
        <v>175</v>
      </c>
      <c r="J105" s="6" t="s">
        <v>709</v>
      </c>
      <c r="K105" s="6" t="s">
        <v>710</v>
      </c>
      <c r="L105" s="6" t="s">
        <v>460</v>
      </c>
      <c r="M105" s="6" t="n">
        <v>4</v>
      </c>
      <c r="N105" s="6"/>
      <c r="O105" s="6"/>
    </row>
    <row r="106" customFormat="false" ht="74.6" hidden="false" customHeight="false" outlineLevel="0" collapsed="false">
      <c r="A106" s="14" t="n">
        <v>105</v>
      </c>
      <c r="B106" s="15" t="n">
        <v>46376</v>
      </c>
      <c r="C106" s="14" t="n">
        <v>15</v>
      </c>
      <c r="D106" s="14" t="s">
        <v>41</v>
      </c>
      <c r="E106" s="14" t="s">
        <v>711</v>
      </c>
      <c r="F106" s="14" t="s">
        <v>201</v>
      </c>
      <c r="G106" s="14" t="s">
        <v>202</v>
      </c>
      <c r="H106" s="14" t="s">
        <v>181</v>
      </c>
      <c r="I106" s="14" t="s">
        <v>182</v>
      </c>
      <c r="J106" s="14" t="s">
        <v>712</v>
      </c>
      <c r="K106" s="14" t="s">
        <v>201</v>
      </c>
      <c r="L106" s="14" t="s">
        <v>204</v>
      </c>
      <c r="M106" s="14" t="n">
        <v>4</v>
      </c>
      <c r="N106" s="14"/>
      <c r="O106" s="14"/>
    </row>
    <row r="107" customFormat="false" ht="22.35" hidden="false" customHeight="false" outlineLevel="0" collapsed="false">
      <c r="A107" s="6" t="n">
        <v>106</v>
      </c>
      <c r="B107" s="12" t="n">
        <v>46377</v>
      </c>
      <c r="C107" s="6" t="n">
        <v>16</v>
      </c>
      <c r="D107" s="6" t="s">
        <v>41</v>
      </c>
      <c r="E107" s="6" t="s">
        <v>713</v>
      </c>
      <c r="F107" s="6" t="s">
        <v>714</v>
      </c>
      <c r="G107" s="6" t="s">
        <v>715</v>
      </c>
      <c r="H107" s="6" t="s">
        <v>716</v>
      </c>
      <c r="I107" s="6" t="s">
        <v>717</v>
      </c>
      <c r="J107" s="6" t="s">
        <v>718</v>
      </c>
      <c r="K107" s="6" t="s">
        <v>719</v>
      </c>
      <c r="L107" s="6" t="s">
        <v>222</v>
      </c>
      <c r="M107" s="6" t="n">
        <v>3</v>
      </c>
      <c r="N107" s="6"/>
      <c r="O107" s="6"/>
    </row>
    <row r="108" customFormat="false" ht="22.35" hidden="false" customHeight="false" outlineLevel="0" collapsed="false">
      <c r="A108" s="6" t="n">
        <v>107</v>
      </c>
      <c r="B108" s="12" t="n">
        <v>46378</v>
      </c>
      <c r="C108" s="6" t="n">
        <v>16</v>
      </c>
      <c r="D108" s="6" t="s">
        <v>41</v>
      </c>
      <c r="E108" s="6" t="s">
        <v>720</v>
      </c>
      <c r="F108" s="6" t="s">
        <v>721</v>
      </c>
      <c r="G108" s="6" t="s">
        <v>722</v>
      </c>
      <c r="H108" s="6" t="s">
        <v>723</v>
      </c>
      <c r="I108" s="6" t="s">
        <v>724</v>
      </c>
      <c r="J108" s="6" t="s">
        <v>725</v>
      </c>
      <c r="K108" s="6" t="s">
        <v>726</v>
      </c>
      <c r="L108" s="6" t="s">
        <v>216</v>
      </c>
      <c r="M108" s="6" t="n">
        <v>3</v>
      </c>
      <c r="N108" s="6"/>
      <c r="O108" s="6"/>
    </row>
    <row r="109" customFormat="false" ht="22.35" hidden="false" customHeight="false" outlineLevel="0" collapsed="false">
      <c r="A109" s="6" t="n">
        <v>108</v>
      </c>
      <c r="B109" s="12" t="n">
        <v>46379</v>
      </c>
      <c r="C109" s="6" t="n">
        <v>16</v>
      </c>
      <c r="D109" s="6" t="s">
        <v>41</v>
      </c>
      <c r="E109" s="6" t="s">
        <v>727</v>
      </c>
      <c r="F109" s="6" t="s">
        <v>728</v>
      </c>
      <c r="G109" s="6" t="s">
        <v>729</v>
      </c>
      <c r="H109" s="6" t="s">
        <v>730</v>
      </c>
      <c r="I109" s="6" t="s">
        <v>731</v>
      </c>
      <c r="J109" s="6" t="s">
        <v>732</v>
      </c>
      <c r="K109" s="6" t="s">
        <v>733</v>
      </c>
      <c r="L109" s="6" t="s">
        <v>216</v>
      </c>
      <c r="M109" s="6" t="n">
        <v>3</v>
      </c>
      <c r="N109" s="6"/>
      <c r="O109" s="6"/>
    </row>
    <row r="110" customFormat="false" ht="22.35" hidden="false" customHeight="false" outlineLevel="0" collapsed="false">
      <c r="A110" s="6" t="n">
        <v>109</v>
      </c>
      <c r="B110" s="12" t="n">
        <v>46380</v>
      </c>
      <c r="C110" s="6" t="n">
        <v>16</v>
      </c>
      <c r="D110" s="6" t="s">
        <v>41</v>
      </c>
      <c r="E110" s="6" t="s">
        <v>734</v>
      </c>
      <c r="F110" s="6" t="s">
        <v>735</v>
      </c>
      <c r="G110" s="6" t="s">
        <v>736</v>
      </c>
      <c r="H110" s="6" t="s">
        <v>174</v>
      </c>
      <c r="I110" s="6" t="s">
        <v>175</v>
      </c>
      <c r="J110" s="6" t="s">
        <v>737</v>
      </c>
      <c r="K110" s="6" t="s">
        <v>738</v>
      </c>
      <c r="L110" s="6" t="s">
        <v>447</v>
      </c>
      <c r="M110" s="6" t="n">
        <v>3</v>
      </c>
      <c r="N110" s="6"/>
      <c r="O110" s="6"/>
    </row>
    <row r="111" customFormat="false" ht="22.35" hidden="false" customHeight="false" outlineLevel="0" collapsed="false">
      <c r="A111" s="6" t="n">
        <v>110</v>
      </c>
      <c r="B111" s="12" t="n">
        <v>46381</v>
      </c>
      <c r="C111" s="6" t="n">
        <v>16</v>
      </c>
      <c r="D111" s="6" t="s">
        <v>41</v>
      </c>
      <c r="E111" s="6" t="s">
        <v>739</v>
      </c>
      <c r="F111" s="6" t="s">
        <v>740</v>
      </c>
      <c r="G111" s="6" t="s">
        <v>741</v>
      </c>
      <c r="H111" s="6" t="s">
        <v>181</v>
      </c>
      <c r="I111" s="6" t="s">
        <v>182</v>
      </c>
      <c r="J111" s="6" t="s">
        <v>742</v>
      </c>
      <c r="K111" s="6" t="s">
        <v>743</v>
      </c>
      <c r="L111" s="6" t="s">
        <v>454</v>
      </c>
      <c r="M111" s="6" t="n">
        <v>3</v>
      </c>
      <c r="N111" s="6"/>
      <c r="O111" s="6"/>
    </row>
    <row r="112" customFormat="false" ht="22.35" hidden="false" customHeight="false" outlineLevel="0" collapsed="false">
      <c r="A112" s="6" t="n">
        <v>111</v>
      </c>
      <c r="B112" s="12" t="n">
        <v>46382</v>
      </c>
      <c r="C112" s="6" t="n">
        <v>16</v>
      </c>
      <c r="D112" s="6" t="s">
        <v>41</v>
      </c>
      <c r="E112" s="6" t="s">
        <v>744</v>
      </c>
      <c r="F112" s="6" t="s">
        <v>745</v>
      </c>
      <c r="G112" s="6" t="s">
        <v>746</v>
      </c>
      <c r="H112" s="6" t="s">
        <v>747</v>
      </c>
      <c r="I112" s="6" t="s">
        <v>748</v>
      </c>
      <c r="J112" s="6" t="s">
        <v>749</v>
      </c>
      <c r="K112" s="6" t="s">
        <v>750</v>
      </c>
      <c r="L112" s="6" t="s">
        <v>460</v>
      </c>
      <c r="M112" s="6" t="n">
        <v>3</v>
      </c>
      <c r="N112" s="6"/>
      <c r="O112" s="6"/>
    </row>
    <row r="113" customFormat="false" ht="64.15" hidden="false" customHeight="false" outlineLevel="0" collapsed="false">
      <c r="A113" s="14" t="n">
        <v>112</v>
      </c>
      <c r="B113" s="15" t="n">
        <v>46383</v>
      </c>
      <c r="C113" s="14" t="n">
        <v>16</v>
      </c>
      <c r="D113" s="14" t="s">
        <v>41</v>
      </c>
      <c r="E113" s="14" t="s">
        <v>751</v>
      </c>
      <c r="F113" s="14" t="s">
        <v>201</v>
      </c>
      <c r="G113" s="14" t="s">
        <v>202</v>
      </c>
      <c r="H113" s="14" t="s">
        <v>181</v>
      </c>
      <c r="I113" s="14" t="s">
        <v>182</v>
      </c>
      <c r="J113" s="14" t="s">
        <v>752</v>
      </c>
      <c r="K113" s="14" t="s">
        <v>201</v>
      </c>
      <c r="L113" s="14" t="s">
        <v>204</v>
      </c>
      <c r="M113" s="14" t="n">
        <v>3</v>
      </c>
      <c r="N113" s="14"/>
      <c r="O113" s="14"/>
    </row>
    <row r="114" customFormat="false" ht="22.35" hidden="false" customHeight="false" outlineLevel="0" collapsed="false">
      <c r="A114" s="6" t="n">
        <v>113</v>
      </c>
      <c r="B114" s="12" t="n">
        <v>46384</v>
      </c>
      <c r="C114" s="6" t="n">
        <v>17</v>
      </c>
      <c r="D114" s="6" t="s">
        <v>41</v>
      </c>
      <c r="E114" s="6" t="s">
        <v>753</v>
      </c>
      <c r="F114" s="6" t="s">
        <v>754</v>
      </c>
      <c r="G114" s="6" t="s">
        <v>755</v>
      </c>
      <c r="H114" s="6" t="s">
        <v>756</v>
      </c>
      <c r="I114" s="6" t="s">
        <v>757</v>
      </c>
      <c r="J114" s="6" t="s">
        <v>758</v>
      </c>
      <c r="K114" s="6" t="s">
        <v>759</v>
      </c>
      <c r="L114" s="6" t="s">
        <v>216</v>
      </c>
      <c r="M114" s="6" t="n">
        <v>3</v>
      </c>
      <c r="N114" s="6"/>
      <c r="O114" s="6"/>
    </row>
    <row r="115" customFormat="false" ht="22.35" hidden="false" customHeight="false" outlineLevel="0" collapsed="false">
      <c r="A115" s="6" t="n">
        <v>114</v>
      </c>
      <c r="B115" s="12" t="n">
        <v>46385</v>
      </c>
      <c r="C115" s="6" t="n">
        <v>17</v>
      </c>
      <c r="D115" s="6" t="s">
        <v>41</v>
      </c>
      <c r="E115" s="6" t="s">
        <v>760</v>
      </c>
      <c r="F115" s="6" t="s">
        <v>761</v>
      </c>
      <c r="G115" s="6" t="s">
        <v>762</v>
      </c>
      <c r="H115" s="6" t="s">
        <v>756</v>
      </c>
      <c r="I115" s="6" t="s">
        <v>757</v>
      </c>
      <c r="J115" s="6" t="s">
        <v>763</v>
      </c>
      <c r="K115" s="6" t="s">
        <v>764</v>
      </c>
      <c r="L115" s="6" t="s">
        <v>222</v>
      </c>
      <c r="M115" s="6" t="n">
        <v>3</v>
      </c>
      <c r="N115" s="6"/>
      <c r="O115" s="6"/>
    </row>
    <row r="116" customFormat="false" ht="22.35" hidden="false" customHeight="false" outlineLevel="0" collapsed="false">
      <c r="A116" s="6" t="n">
        <v>115</v>
      </c>
      <c r="B116" s="12" t="n">
        <v>46386</v>
      </c>
      <c r="C116" s="6" t="n">
        <v>17</v>
      </c>
      <c r="D116" s="6" t="s">
        <v>41</v>
      </c>
      <c r="E116" s="6" t="s">
        <v>765</v>
      </c>
      <c r="F116" s="6" t="s">
        <v>766</v>
      </c>
      <c r="G116" s="6" t="s">
        <v>767</v>
      </c>
      <c r="H116" s="6" t="s">
        <v>174</v>
      </c>
      <c r="I116" s="6" t="s">
        <v>175</v>
      </c>
      <c r="J116" s="6" t="s">
        <v>768</v>
      </c>
      <c r="K116" s="6" t="s">
        <v>769</v>
      </c>
      <c r="L116" s="6" t="s">
        <v>216</v>
      </c>
      <c r="M116" s="6" t="n">
        <v>3</v>
      </c>
      <c r="N116" s="6"/>
      <c r="O116" s="6"/>
    </row>
    <row r="117" customFormat="false" ht="22.35" hidden="false" customHeight="false" outlineLevel="0" collapsed="false">
      <c r="A117" s="6" t="n">
        <v>116</v>
      </c>
      <c r="B117" s="12" t="n">
        <v>46387</v>
      </c>
      <c r="C117" s="6" t="n">
        <v>17</v>
      </c>
      <c r="D117" s="6" t="s">
        <v>41</v>
      </c>
      <c r="E117" s="6" t="s">
        <v>770</v>
      </c>
      <c r="F117" s="6" t="s">
        <v>771</v>
      </c>
      <c r="G117" s="6" t="s">
        <v>772</v>
      </c>
      <c r="H117" s="6" t="s">
        <v>756</v>
      </c>
      <c r="I117" s="6" t="s">
        <v>757</v>
      </c>
      <c r="J117" s="6" t="s">
        <v>773</v>
      </c>
      <c r="K117" s="6" t="s">
        <v>774</v>
      </c>
      <c r="L117" s="6" t="s">
        <v>216</v>
      </c>
      <c r="M117" s="6" t="n">
        <v>3</v>
      </c>
      <c r="N117" s="6"/>
      <c r="O117" s="6"/>
    </row>
    <row r="118" customFormat="false" ht="22.35" hidden="false" customHeight="false" outlineLevel="0" collapsed="false">
      <c r="A118" s="6" t="n">
        <v>117</v>
      </c>
      <c r="B118" s="12" t="n">
        <v>46388</v>
      </c>
      <c r="C118" s="6" t="n">
        <v>17</v>
      </c>
      <c r="D118" s="6" t="s">
        <v>41</v>
      </c>
      <c r="E118" s="6" t="s">
        <v>775</v>
      </c>
      <c r="F118" s="6" t="s">
        <v>776</v>
      </c>
      <c r="G118" s="6" t="s">
        <v>777</v>
      </c>
      <c r="H118" s="6" t="s">
        <v>778</v>
      </c>
      <c r="I118" s="6" t="s">
        <v>779</v>
      </c>
      <c r="J118" s="6" t="s">
        <v>780</v>
      </c>
      <c r="K118" s="6" t="s">
        <v>781</v>
      </c>
      <c r="L118" s="6" t="s">
        <v>782</v>
      </c>
      <c r="M118" s="6" t="n">
        <v>3</v>
      </c>
      <c r="N118" s="6"/>
      <c r="O118" s="6"/>
    </row>
    <row r="119" customFormat="false" ht="32.8" hidden="false" customHeight="false" outlineLevel="0" collapsed="false">
      <c r="A119" s="6" t="n">
        <v>118</v>
      </c>
      <c r="B119" s="12" t="n">
        <v>46389</v>
      </c>
      <c r="C119" s="6" t="n">
        <v>17</v>
      </c>
      <c r="D119" s="6" t="s">
        <v>41</v>
      </c>
      <c r="E119" s="6" t="s">
        <v>783</v>
      </c>
      <c r="F119" s="6" t="s">
        <v>784</v>
      </c>
      <c r="G119" s="6" t="s">
        <v>785</v>
      </c>
      <c r="H119" s="6" t="s">
        <v>181</v>
      </c>
      <c r="I119" s="6" t="s">
        <v>182</v>
      </c>
      <c r="J119" s="6" t="s">
        <v>786</v>
      </c>
      <c r="K119" s="6" t="s">
        <v>787</v>
      </c>
      <c r="L119" s="6" t="s">
        <v>460</v>
      </c>
      <c r="M119" s="6" t="n">
        <v>3</v>
      </c>
      <c r="N119" s="6"/>
      <c r="O119" s="6"/>
    </row>
    <row r="120" customFormat="false" ht="74.6" hidden="false" customHeight="false" outlineLevel="0" collapsed="false">
      <c r="A120" s="14" t="n">
        <v>119</v>
      </c>
      <c r="B120" s="15" t="n">
        <v>46390</v>
      </c>
      <c r="C120" s="14" t="n">
        <v>17</v>
      </c>
      <c r="D120" s="14" t="s">
        <v>41</v>
      </c>
      <c r="E120" s="14" t="s">
        <v>788</v>
      </c>
      <c r="F120" s="14" t="s">
        <v>201</v>
      </c>
      <c r="G120" s="14" t="s">
        <v>202</v>
      </c>
      <c r="H120" s="14" t="s">
        <v>181</v>
      </c>
      <c r="I120" s="14" t="s">
        <v>182</v>
      </c>
      <c r="J120" s="14" t="s">
        <v>789</v>
      </c>
      <c r="K120" s="14" t="s">
        <v>201</v>
      </c>
      <c r="L120" s="14" t="s">
        <v>204</v>
      </c>
      <c r="M120" s="14" t="n">
        <v>3</v>
      </c>
      <c r="N120" s="14"/>
      <c r="O120" s="14"/>
    </row>
    <row r="121" customFormat="false" ht="22.35" hidden="false" customHeight="false" outlineLevel="0" collapsed="false">
      <c r="A121" s="6" t="n">
        <v>120</v>
      </c>
      <c r="B121" s="12" t="n">
        <v>46391</v>
      </c>
      <c r="C121" s="6" t="n">
        <v>18</v>
      </c>
      <c r="D121" s="6" t="s">
        <v>41</v>
      </c>
      <c r="E121" s="6" t="s">
        <v>790</v>
      </c>
      <c r="F121" s="6" t="s">
        <v>791</v>
      </c>
      <c r="G121" s="6" t="s">
        <v>792</v>
      </c>
      <c r="H121" s="6" t="s">
        <v>181</v>
      </c>
      <c r="I121" s="6" t="s">
        <v>182</v>
      </c>
      <c r="J121" s="6" t="s">
        <v>793</v>
      </c>
      <c r="K121" s="6" t="s">
        <v>794</v>
      </c>
      <c r="L121" s="6" t="s">
        <v>216</v>
      </c>
      <c r="M121" s="6" t="n">
        <v>4</v>
      </c>
      <c r="N121" s="6"/>
      <c r="O121" s="6"/>
    </row>
    <row r="122" customFormat="false" ht="22.35" hidden="false" customHeight="false" outlineLevel="0" collapsed="false">
      <c r="A122" s="6" t="n">
        <v>121</v>
      </c>
      <c r="B122" s="12" t="n">
        <v>46392</v>
      </c>
      <c r="C122" s="6" t="n">
        <v>18</v>
      </c>
      <c r="D122" s="6" t="s">
        <v>41</v>
      </c>
      <c r="E122" s="6" t="s">
        <v>795</v>
      </c>
      <c r="F122" s="6" t="s">
        <v>796</v>
      </c>
      <c r="G122" s="6" t="s">
        <v>551</v>
      </c>
      <c r="H122" s="6" t="s">
        <v>181</v>
      </c>
      <c r="I122" s="6" t="s">
        <v>182</v>
      </c>
      <c r="J122" s="6" t="s">
        <v>797</v>
      </c>
      <c r="K122" s="6" t="s">
        <v>798</v>
      </c>
      <c r="L122" s="6" t="s">
        <v>7</v>
      </c>
      <c r="M122" s="6" t="n">
        <v>4</v>
      </c>
      <c r="N122" s="6"/>
      <c r="O122" s="6"/>
    </row>
    <row r="123" customFormat="false" ht="22.35" hidden="false" customHeight="false" outlineLevel="0" collapsed="false">
      <c r="A123" s="6" t="n">
        <v>122</v>
      </c>
      <c r="B123" s="12" t="n">
        <v>46393</v>
      </c>
      <c r="C123" s="6" t="n">
        <v>18</v>
      </c>
      <c r="D123" s="6" t="s">
        <v>41</v>
      </c>
      <c r="E123" s="6" t="s">
        <v>799</v>
      </c>
      <c r="F123" s="6" t="s">
        <v>800</v>
      </c>
      <c r="G123" s="6" t="s">
        <v>551</v>
      </c>
      <c r="H123" s="6" t="s">
        <v>181</v>
      </c>
      <c r="I123" s="6" t="s">
        <v>182</v>
      </c>
      <c r="J123" s="6" t="s">
        <v>801</v>
      </c>
      <c r="K123" s="6" t="s">
        <v>802</v>
      </c>
      <c r="L123" s="6" t="s">
        <v>803</v>
      </c>
      <c r="M123" s="6" t="n">
        <v>4</v>
      </c>
      <c r="N123" s="6"/>
      <c r="O123" s="6"/>
    </row>
    <row r="124" customFormat="false" ht="22.35" hidden="false" customHeight="false" outlineLevel="0" collapsed="false">
      <c r="A124" s="6" t="n">
        <v>123</v>
      </c>
      <c r="B124" s="12" t="n">
        <v>46394</v>
      </c>
      <c r="C124" s="6" t="n">
        <v>18</v>
      </c>
      <c r="D124" s="6" t="s">
        <v>41</v>
      </c>
      <c r="E124" s="6" t="s">
        <v>804</v>
      </c>
      <c r="F124" s="6" t="s">
        <v>805</v>
      </c>
      <c r="G124" s="6" t="s">
        <v>806</v>
      </c>
      <c r="H124" s="6" t="s">
        <v>807</v>
      </c>
      <c r="I124" s="6" t="s">
        <v>808</v>
      </c>
      <c r="J124" s="6" t="s">
        <v>809</v>
      </c>
      <c r="K124" s="6" t="s">
        <v>810</v>
      </c>
      <c r="L124" s="6" t="s">
        <v>811</v>
      </c>
      <c r="M124" s="6" t="n">
        <v>4</v>
      </c>
      <c r="N124" s="6"/>
      <c r="O124" s="6"/>
    </row>
    <row r="125" customFormat="false" ht="22.35" hidden="false" customHeight="false" outlineLevel="0" collapsed="false">
      <c r="A125" s="6" t="n">
        <v>124</v>
      </c>
      <c r="B125" s="12" t="n">
        <v>46395</v>
      </c>
      <c r="C125" s="6" t="n">
        <v>18</v>
      </c>
      <c r="D125" s="6" t="s">
        <v>41</v>
      </c>
      <c r="E125" s="6" t="s">
        <v>812</v>
      </c>
      <c r="F125" s="6" t="s">
        <v>813</v>
      </c>
      <c r="G125" s="6" t="s">
        <v>814</v>
      </c>
      <c r="H125" s="6" t="s">
        <v>807</v>
      </c>
      <c r="I125" s="6" t="s">
        <v>808</v>
      </c>
      <c r="J125" s="6" t="s">
        <v>815</v>
      </c>
      <c r="K125" s="6" t="s">
        <v>816</v>
      </c>
      <c r="L125" s="6" t="s">
        <v>447</v>
      </c>
      <c r="M125" s="6" t="n">
        <v>4</v>
      </c>
      <c r="N125" s="6"/>
      <c r="O125" s="6"/>
    </row>
    <row r="126" customFormat="false" ht="22.35" hidden="false" customHeight="false" outlineLevel="0" collapsed="false">
      <c r="A126" s="6" t="n">
        <v>125</v>
      </c>
      <c r="B126" s="12" t="n">
        <v>46396</v>
      </c>
      <c r="C126" s="6" t="n">
        <v>18</v>
      </c>
      <c r="D126" s="6" t="s">
        <v>41</v>
      </c>
      <c r="E126" s="6" t="s">
        <v>817</v>
      </c>
      <c r="F126" s="6" t="s">
        <v>818</v>
      </c>
      <c r="G126" s="6" t="s">
        <v>819</v>
      </c>
      <c r="H126" s="6" t="s">
        <v>807</v>
      </c>
      <c r="I126" s="6" t="s">
        <v>808</v>
      </c>
      <c r="J126" s="6" t="s">
        <v>820</v>
      </c>
      <c r="K126" s="6" t="s">
        <v>821</v>
      </c>
      <c r="L126" s="6" t="s">
        <v>822</v>
      </c>
      <c r="M126" s="6" t="n">
        <v>4</v>
      </c>
      <c r="N126" s="6"/>
      <c r="O126" s="6"/>
    </row>
    <row r="127" customFormat="false" ht="64.15" hidden="false" customHeight="false" outlineLevel="0" collapsed="false">
      <c r="A127" s="14" t="n">
        <v>126</v>
      </c>
      <c r="B127" s="15" t="n">
        <v>46397</v>
      </c>
      <c r="C127" s="14" t="n">
        <v>18</v>
      </c>
      <c r="D127" s="14" t="s">
        <v>41</v>
      </c>
      <c r="E127" s="14" t="s">
        <v>823</v>
      </c>
      <c r="F127" s="14" t="s">
        <v>201</v>
      </c>
      <c r="G127" s="14" t="s">
        <v>202</v>
      </c>
      <c r="H127" s="14" t="s">
        <v>181</v>
      </c>
      <c r="I127" s="14" t="s">
        <v>182</v>
      </c>
      <c r="J127" s="14" t="s">
        <v>824</v>
      </c>
      <c r="K127" s="14" t="s">
        <v>201</v>
      </c>
      <c r="L127" s="14" t="s">
        <v>204</v>
      </c>
      <c r="M127" s="14" t="n">
        <v>4</v>
      </c>
      <c r="N127" s="14"/>
      <c r="O127" s="14"/>
    </row>
    <row r="128" customFormat="false" ht="22.35" hidden="false" customHeight="false" outlineLevel="0" collapsed="false">
      <c r="A128" s="6" t="n">
        <v>127</v>
      </c>
      <c r="B128" s="12" t="n">
        <v>46398</v>
      </c>
      <c r="C128" s="6" t="n">
        <v>19</v>
      </c>
      <c r="D128" s="6" t="s">
        <v>41</v>
      </c>
      <c r="E128" s="6" t="s">
        <v>825</v>
      </c>
      <c r="F128" s="6" t="s">
        <v>826</v>
      </c>
      <c r="G128" s="6" t="s">
        <v>551</v>
      </c>
      <c r="H128" s="6" t="s">
        <v>181</v>
      </c>
      <c r="I128" s="6" t="s">
        <v>182</v>
      </c>
      <c r="J128" s="6" t="s">
        <v>827</v>
      </c>
      <c r="K128" s="6" t="s">
        <v>828</v>
      </c>
      <c r="L128" s="6" t="s">
        <v>829</v>
      </c>
      <c r="M128" s="6" t="n">
        <v>4</v>
      </c>
      <c r="N128" s="6"/>
      <c r="O128" s="6"/>
    </row>
    <row r="129" customFormat="false" ht="22.35" hidden="false" customHeight="false" outlineLevel="0" collapsed="false">
      <c r="A129" s="6" t="n">
        <v>128</v>
      </c>
      <c r="B129" s="12" t="n">
        <v>46399</v>
      </c>
      <c r="C129" s="6" t="n">
        <v>19</v>
      </c>
      <c r="D129" s="6" t="s">
        <v>41</v>
      </c>
      <c r="E129" s="6" t="s">
        <v>830</v>
      </c>
      <c r="F129" s="6" t="s">
        <v>831</v>
      </c>
      <c r="G129" s="6" t="s">
        <v>832</v>
      </c>
      <c r="H129" s="6" t="s">
        <v>181</v>
      </c>
      <c r="I129" s="6" t="s">
        <v>182</v>
      </c>
      <c r="J129" s="6" t="s">
        <v>833</v>
      </c>
      <c r="K129" s="6" t="s">
        <v>834</v>
      </c>
      <c r="L129" s="6" t="s">
        <v>216</v>
      </c>
      <c r="M129" s="6" t="n">
        <v>4</v>
      </c>
      <c r="N129" s="6"/>
      <c r="O129" s="6"/>
    </row>
    <row r="130" customFormat="false" ht="22.35" hidden="false" customHeight="false" outlineLevel="0" collapsed="false">
      <c r="A130" s="6" t="n">
        <v>129</v>
      </c>
      <c r="B130" s="12" t="n">
        <v>46400</v>
      </c>
      <c r="C130" s="6" t="n">
        <v>19</v>
      </c>
      <c r="D130" s="6" t="s">
        <v>41</v>
      </c>
      <c r="E130" s="6" t="s">
        <v>835</v>
      </c>
      <c r="F130" s="6" t="s">
        <v>836</v>
      </c>
      <c r="G130" s="6" t="s">
        <v>551</v>
      </c>
      <c r="H130" s="6" t="s">
        <v>181</v>
      </c>
      <c r="I130" s="6" t="s">
        <v>182</v>
      </c>
      <c r="J130" s="6" t="s">
        <v>837</v>
      </c>
      <c r="K130" s="6" t="s">
        <v>838</v>
      </c>
      <c r="L130" s="6" t="s">
        <v>839</v>
      </c>
      <c r="M130" s="6" t="n">
        <v>4</v>
      </c>
      <c r="N130" s="6"/>
      <c r="O130" s="6"/>
    </row>
    <row r="131" customFormat="false" ht="22.35" hidden="false" customHeight="false" outlineLevel="0" collapsed="false">
      <c r="A131" s="6" t="n">
        <v>130</v>
      </c>
      <c r="B131" s="12" t="n">
        <v>46401</v>
      </c>
      <c r="C131" s="6" t="n">
        <v>19</v>
      </c>
      <c r="D131" s="6" t="s">
        <v>41</v>
      </c>
      <c r="E131" s="6" t="s">
        <v>840</v>
      </c>
      <c r="F131" s="6" t="s">
        <v>841</v>
      </c>
      <c r="G131" s="6" t="s">
        <v>551</v>
      </c>
      <c r="H131" s="6" t="s">
        <v>181</v>
      </c>
      <c r="I131" s="6" t="s">
        <v>182</v>
      </c>
      <c r="J131" s="6" t="s">
        <v>593</v>
      </c>
      <c r="K131" s="6" t="s">
        <v>842</v>
      </c>
      <c r="L131" s="6" t="s">
        <v>593</v>
      </c>
      <c r="M131" s="6" t="n">
        <v>4</v>
      </c>
      <c r="N131" s="6"/>
      <c r="O131" s="6"/>
    </row>
    <row r="132" customFormat="false" ht="22.35" hidden="false" customHeight="false" outlineLevel="0" collapsed="false">
      <c r="A132" s="6" t="n">
        <v>131</v>
      </c>
      <c r="B132" s="12" t="n">
        <v>46402</v>
      </c>
      <c r="C132" s="6" t="n">
        <v>19</v>
      </c>
      <c r="D132" s="6" t="s">
        <v>41</v>
      </c>
      <c r="E132" s="6" t="s">
        <v>843</v>
      </c>
      <c r="F132" s="6" t="s">
        <v>844</v>
      </c>
      <c r="G132" s="6" t="s">
        <v>551</v>
      </c>
      <c r="H132" s="6" t="s">
        <v>181</v>
      </c>
      <c r="I132" s="6" t="s">
        <v>182</v>
      </c>
      <c r="J132" s="6" t="s">
        <v>845</v>
      </c>
      <c r="K132" s="6" t="s">
        <v>846</v>
      </c>
      <c r="L132" s="6" t="s">
        <v>847</v>
      </c>
      <c r="M132" s="6" t="n">
        <v>4</v>
      </c>
      <c r="N132" s="6"/>
      <c r="O132" s="6"/>
    </row>
    <row r="133" customFormat="false" ht="22.35" hidden="false" customHeight="false" outlineLevel="0" collapsed="false">
      <c r="A133" s="6" t="n">
        <v>132</v>
      </c>
      <c r="B133" s="12" t="n">
        <v>46403</v>
      </c>
      <c r="C133" s="6" t="n">
        <v>19</v>
      </c>
      <c r="D133" s="6" t="s">
        <v>41</v>
      </c>
      <c r="E133" s="6" t="s">
        <v>848</v>
      </c>
      <c r="F133" s="6" t="s">
        <v>849</v>
      </c>
      <c r="G133" s="6" t="s">
        <v>551</v>
      </c>
      <c r="H133" s="6" t="s">
        <v>181</v>
      </c>
      <c r="I133" s="6" t="s">
        <v>182</v>
      </c>
      <c r="J133" s="6" t="s">
        <v>850</v>
      </c>
      <c r="K133" s="6" t="s">
        <v>851</v>
      </c>
      <c r="L133" s="6" t="s">
        <v>852</v>
      </c>
      <c r="M133" s="6" t="n">
        <v>4</v>
      </c>
      <c r="N133" s="6"/>
      <c r="O133" s="6"/>
    </row>
    <row r="134" customFormat="false" ht="74.6" hidden="false" customHeight="false" outlineLevel="0" collapsed="false">
      <c r="A134" s="4" t="n">
        <v>133</v>
      </c>
      <c r="B134" s="13" t="n">
        <v>46404</v>
      </c>
      <c r="C134" s="4" t="n">
        <v>19</v>
      </c>
      <c r="D134" s="4" t="s">
        <v>41</v>
      </c>
      <c r="E134" s="4" t="s">
        <v>853</v>
      </c>
      <c r="F134" s="4" t="s">
        <v>201</v>
      </c>
      <c r="G134" s="4" t="s">
        <v>202</v>
      </c>
      <c r="H134" s="4" t="s">
        <v>181</v>
      </c>
      <c r="I134" s="4" t="s">
        <v>182</v>
      </c>
      <c r="J134" s="4" t="s">
        <v>854</v>
      </c>
      <c r="K134" s="4" t="s">
        <v>201</v>
      </c>
      <c r="L134" s="4" t="s">
        <v>204</v>
      </c>
      <c r="M134" s="4" t="n">
        <v>4</v>
      </c>
      <c r="N134" s="4" t="s">
        <v>55</v>
      </c>
      <c r="O134" s="4"/>
    </row>
    <row r="135" customFormat="false" ht="22.35" hidden="false" customHeight="false" outlineLevel="0" collapsed="false">
      <c r="A135" s="6" t="n">
        <v>134</v>
      </c>
      <c r="B135" s="12" t="n">
        <v>46405</v>
      </c>
      <c r="C135" s="6" t="n">
        <v>20</v>
      </c>
      <c r="D135" s="6" t="s">
        <v>57</v>
      </c>
      <c r="E135" s="6" t="s">
        <v>855</v>
      </c>
      <c r="F135" s="6" t="s">
        <v>856</v>
      </c>
      <c r="G135" s="6" t="s">
        <v>857</v>
      </c>
      <c r="H135" s="6" t="s">
        <v>612</v>
      </c>
      <c r="I135" s="6" t="s">
        <v>613</v>
      </c>
      <c r="J135" s="6" t="s">
        <v>858</v>
      </c>
      <c r="K135" s="6" t="s">
        <v>859</v>
      </c>
      <c r="L135" s="6" t="s">
        <v>216</v>
      </c>
      <c r="M135" s="6" t="n">
        <v>4</v>
      </c>
      <c r="N135" s="6"/>
      <c r="O135" s="6"/>
    </row>
    <row r="136" customFormat="false" ht="22.35" hidden="false" customHeight="false" outlineLevel="0" collapsed="false">
      <c r="A136" s="6" t="n">
        <v>135</v>
      </c>
      <c r="B136" s="12" t="n">
        <v>46406</v>
      </c>
      <c r="C136" s="6" t="n">
        <v>20</v>
      </c>
      <c r="D136" s="6" t="s">
        <v>57</v>
      </c>
      <c r="E136" s="6" t="s">
        <v>860</v>
      </c>
      <c r="F136" s="6" t="s">
        <v>861</v>
      </c>
      <c r="G136" s="6" t="s">
        <v>862</v>
      </c>
      <c r="H136" s="6" t="s">
        <v>863</v>
      </c>
      <c r="I136" s="6" t="s">
        <v>864</v>
      </c>
      <c r="J136" s="6" t="s">
        <v>865</v>
      </c>
      <c r="K136" s="6" t="s">
        <v>866</v>
      </c>
      <c r="L136" s="6" t="s">
        <v>222</v>
      </c>
      <c r="M136" s="6" t="n">
        <v>4</v>
      </c>
      <c r="N136" s="6"/>
      <c r="O136" s="6"/>
    </row>
    <row r="137" customFormat="false" ht="22.35" hidden="false" customHeight="false" outlineLevel="0" collapsed="false">
      <c r="A137" s="6" t="n">
        <v>136</v>
      </c>
      <c r="B137" s="12" t="n">
        <v>46407</v>
      </c>
      <c r="C137" s="6" t="n">
        <v>20</v>
      </c>
      <c r="D137" s="6" t="s">
        <v>57</v>
      </c>
      <c r="E137" s="6" t="s">
        <v>867</v>
      </c>
      <c r="F137" s="6" t="s">
        <v>868</v>
      </c>
      <c r="G137" s="6" t="s">
        <v>869</v>
      </c>
      <c r="H137" s="6" t="s">
        <v>863</v>
      </c>
      <c r="I137" s="6" t="s">
        <v>864</v>
      </c>
      <c r="J137" s="6" t="s">
        <v>870</v>
      </c>
      <c r="K137" s="6" t="s">
        <v>871</v>
      </c>
      <c r="L137" s="6" t="s">
        <v>216</v>
      </c>
      <c r="M137" s="6" t="n">
        <v>4</v>
      </c>
      <c r="N137" s="6"/>
      <c r="O137" s="6"/>
    </row>
    <row r="138" customFormat="false" ht="22.35" hidden="false" customHeight="false" outlineLevel="0" collapsed="false">
      <c r="A138" s="6" t="n">
        <v>137</v>
      </c>
      <c r="B138" s="12" t="n">
        <v>46408</v>
      </c>
      <c r="C138" s="6" t="n">
        <v>20</v>
      </c>
      <c r="D138" s="6" t="s">
        <v>57</v>
      </c>
      <c r="E138" s="6" t="s">
        <v>872</v>
      </c>
      <c r="F138" s="6" t="s">
        <v>873</v>
      </c>
      <c r="G138" s="6" t="s">
        <v>874</v>
      </c>
      <c r="H138" s="6" t="s">
        <v>875</v>
      </c>
      <c r="I138" s="6" t="s">
        <v>876</v>
      </c>
      <c r="J138" s="6" t="s">
        <v>877</v>
      </c>
      <c r="K138" s="6" t="s">
        <v>878</v>
      </c>
      <c r="L138" s="6" t="s">
        <v>222</v>
      </c>
      <c r="M138" s="6" t="n">
        <v>4</v>
      </c>
      <c r="N138" s="6"/>
      <c r="O138" s="6"/>
    </row>
    <row r="139" customFormat="false" ht="22.35" hidden="false" customHeight="false" outlineLevel="0" collapsed="false">
      <c r="A139" s="6" t="n">
        <v>138</v>
      </c>
      <c r="B139" s="12" t="n">
        <v>46409</v>
      </c>
      <c r="C139" s="6" t="n">
        <v>20</v>
      </c>
      <c r="D139" s="6" t="s">
        <v>57</v>
      </c>
      <c r="E139" s="6" t="s">
        <v>879</v>
      </c>
      <c r="F139" s="6" t="s">
        <v>880</v>
      </c>
      <c r="G139" s="6" t="s">
        <v>881</v>
      </c>
      <c r="H139" s="6" t="s">
        <v>863</v>
      </c>
      <c r="I139" s="6" t="s">
        <v>864</v>
      </c>
      <c r="J139" s="6" t="s">
        <v>882</v>
      </c>
      <c r="K139" s="6" t="s">
        <v>883</v>
      </c>
      <c r="L139" s="6" t="s">
        <v>216</v>
      </c>
      <c r="M139" s="6" t="n">
        <v>4</v>
      </c>
      <c r="N139" s="6"/>
      <c r="O139" s="6"/>
    </row>
    <row r="140" customFormat="false" ht="22.35" hidden="false" customHeight="false" outlineLevel="0" collapsed="false">
      <c r="A140" s="6" t="n">
        <v>139</v>
      </c>
      <c r="B140" s="12" t="n">
        <v>46410</v>
      </c>
      <c r="C140" s="6" t="n">
        <v>20</v>
      </c>
      <c r="D140" s="6" t="s">
        <v>57</v>
      </c>
      <c r="E140" s="6" t="s">
        <v>884</v>
      </c>
      <c r="F140" s="6" t="s">
        <v>885</v>
      </c>
      <c r="G140" s="6" t="s">
        <v>886</v>
      </c>
      <c r="H140" s="6" t="s">
        <v>778</v>
      </c>
      <c r="I140" s="6" t="s">
        <v>779</v>
      </c>
      <c r="J140" s="6" t="s">
        <v>887</v>
      </c>
      <c r="K140" s="6" t="s">
        <v>888</v>
      </c>
      <c r="L140" s="6" t="s">
        <v>460</v>
      </c>
      <c r="M140" s="6" t="n">
        <v>4</v>
      </c>
      <c r="N140" s="6"/>
      <c r="O140" s="6"/>
    </row>
    <row r="141" customFormat="false" ht="64.15" hidden="false" customHeight="false" outlineLevel="0" collapsed="false">
      <c r="A141" s="14" t="n">
        <v>140</v>
      </c>
      <c r="B141" s="15" t="n">
        <v>46411</v>
      </c>
      <c r="C141" s="14" t="n">
        <v>20</v>
      </c>
      <c r="D141" s="14" t="s">
        <v>57</v>
      </c>
      <c r="E141" s="14" t="s">
        <v>889</v>
      </c>
      <c r="F141" s="14" t="s">
        <v>201</v>
      </c>
      <c r="G141" s="14" t="s">
        <v>202</v>
      </c>
      <c r="H141" s="14" t="s">
        <v>181</v>
      </c>
      <c r="I141" s="14" t="s">
        <v>182</v>
      </c>
      <c r="J141" s="14" t="s">
        <v>890</v>
      </c>
      <c r="K141" s="14" t="s">
        <v>201</v>
      </c>
      <c r="L141" s="14" t="s">
        <v>204</v>
      </c>
      <c r="M141" s="14" t="n">
        <v>4</v>
      </c>
      <c r="N141" s="14"/>
      <c r="O141" s="14"/>
    </row>
    <row r="142" customFormat="false" ht="22.35" hidden="false" customHeight="false" outlineLevel="0" collapsed="false">
      <c r="A142" s="6" t="n">
        <v>141</v>
      </c>
      <c r="B142" s="12" t="n">
        <v>46412</v>
      </c>
      <c r="C142" s="6" t="n">
        <v>21</v>
      </c>
      <c r="D142" s="6" t="s">
        <v>57</v>
      </c>
      <c r="E142" s="6" t="s">
        <v>891</v>
      </c>
      <c r="F142" s="6" t="s">
        <v>892</v>
      </c>
      <c r="G142" s="6" t="s">
        <v>893</v>
      </c>
      <c r="H142" s="6" t="s">
        <v>612</v>
      </c>
      <c r="I142" s="6" t="s">
        <v>613</v>
      </c>
      <c r="J142" s="6" t="s">
        <v>894</v>
      </c>
      <c r="K142" s="6" t="s">
        <v>895</v>
      </c>
      <c r="L142" s="6" t="s">
        <v>896</v>
      </c>
      <c r="M142" s="6" t="n">
        <v>4</v>
      </c>
      <c r="N142" s="6"/>
      <c r="O142" s="6"/>
    </row>
    <row r="143" customFormat="false" ht="22.35" hidden="false" customHeight="false" outlineLevel="0" collapsed="false">
      <c r="A143" s="6" t="n">
        <v>142</v>
      </c>
      <c r="B143" s="12" t="n">
        <v>46413</v>
      </c>
      <c r="C143" s="6" t="n">
        <v>21</v>
      </c>
      <c r="D143" s="6" t="s">
        <v>57</v>
      </c>
      <c r="E143" s="6" t="s">
        <v>897</v>
      </c>
      <c r="F143" s="6" t="s">
        <v>898</v>
      </c>
      <c r="G143" s="6" t="s">
        <v>899</v>
      </c>
      <c r="H143" s="6" t="s">
        <v>863</v>
      </c>
      <c r="I143" s="6" t="s">
        <v>864</v>
      </c>
      <c r="J143" s="6" t="s">
        <v>900</v>
      </c>
      <c r="K143" s="6" t="s">
        <v>901</v>
      </c>
      <c r="L143" s="6" t="s">
        <v>216</v>
      </c>
      <c r="M143" s="6" t="n">
        <v>4</v>
      </c>
      <c r="N143" s="6"/>
      <c r="O143" s="6"/>
    </row>
    <row r="144" customFormat="false" ht="22.35" hidden="false" customHeight="false" outlineLevel="0" collapsed="false">
      <c r="A144" s="6" t="n">
        <v>143</v>
      </c>
      <c r="B144" s="12" t="n">
        <v>46414</v>
      </c>
      <c r="C144" s="6" t="n">
        <v>21</v>
      </c>
      <c r="D144" s="6" t="s">
        <v>57</v>
      </c>
      <c r="E144" s="6" t="s">
        <v>902</v>
      </c>
      <c r="F144" s="6" t="s">
        <v>903</v>
      </c>
      <c r="G144" s="6" t="s">
        <v>904</v>
      </c>
      <c r="H144" s="6" t="s">
        <v>863</v>
      </c>
      <c r="I144" s="6" t="s">
        <v>864</v>
      </c>
      <c r="J144" s="6" t="s">
        <v>905</v>
      </c>
      <c r="K144" s="6" t="s">
        <v>906</v>
      </c>
      <c r="L144" s="6" t="s">
        <v>216</v>
      </c>
      <c r="M144" s="6" t="n">
        <v>4</v>
      </c>
      <c r="N144" s="6"/>
      <c r="O144" s="6"/>
    </row>
    <row r="145" customFormat="false" ht="22.35" hidden="false" customHeight="false" outlineLevel="0" collapsed="false">
      <c r="A145" s="6" t="n">
        <v>144</v>
      </c>
      <c r="B145" s="12" t="n">
        <v>46415</v>
      </c>
      <c r="C145" s="6" t="n">
        <v>21</v>
      </c>
      <c r="D145" s="6" t="s">
        <v>57</v>
      </c>
      <c r="E145" s="6" t="s">
        <v>907</v>
      </c>
      <c r="F145" s="6" t="s">
        <v>908</v>
      </c>
      <c r="G145" s="6" t="s">
        <v>909</v>
      </c>
      <c r="H145" s="6" t="s">
        <v>863</v>
      </c>
      <c r="I145" s="6" t="s">
        <v>864</v>
      </c>
      <c r="J145" s="6" t="s">
        <v>910</v>
      </c>
      <c r="K145" s="6" t="s">
        <v>911</v>
      </c>
      <c r="L145" s="6" t="s">
        <v>912</v>
      </c>
      <c r="M145" s="6" t="n">
        <v>4</v>
      </c>
      <c r="N145" s="6"/>
      <c r="O145" s="6"/>
    </row>
    <row r="146" customFormat="false" ht="22.35" hidden="false" customHeight="false" outlineLevel="0" collapsed="false">
      <c r="A146" s="6" t="n">
        <v>145</v>
      </c>
      <c r="B146" s="12" t="n">
        <v>46416</v>
      </c>
      <c r="C146" s="6" t="n">
        <v>21</v>
      </c>
      <c r="D146" s="6" t="s">
        <v>57</v>
      </c>
      <c r="E146" s="6" t="s">
        <v>913</v>
      </c>
      <c r="F146" s="6" t="s">
        <v>914</v>
      </c>
      <c r="G146" s="6" t="s">
        <v>915</v>
      </c>
      <c r="H146" s="6" t="s">
        <v>916</v>
      </c>
      <c r="I146" s="6" t="s">
        <v>917</v>
      </c>
      <c r="J146" s="6" t="s">
        <v>918</v>
      </c>
      <c r="K146" s="6" t="s">
        <v>919</v>
      </c>
      <c r="L146" s="6" t="s">
        <v>222</v>
      </c>
      <c r="M146" s="6" t="n">
        <v>4</v>
      </c>
      <c r="N146" s="6"/>
      <c r="O146" s="6"/>
    </row>
    <row r="147" customFormat="false" ht="32.8" hidden="false" customHeight="false" outlineLevel="0" collapsed="false">
      <c r="A147" s="6" t="n">
        <v>146</v>
      </c>
      <c r="B147" s="12" t="n">
        <v>46417</v>
      </c>
      <c r="C147" s="6" t="n">
        <v>21</v>
      </c>
      <c r="D147" s="6" t="s">
        <v>57</v>
      </c>
      <c r="E147" s="6" t="s">
        <v>920</v>
      </c>
      <c r="F147" s="6" t="s">
        <v>921</v>
      </c>
      <c r="G147" s="6" t="s">
        <v>922</v>
      </c>
      <c r="H147" s="6" t="s">
        <v>923</v>
      </c>
      <c r="I147" s="6" t="s">
        <v>924</v>
      </c>
      <c r="J147" s="6" t="s">
        <v>925</v>
      </c>
      <c r="K147" s="6" t="s">
        <v>926</v>
      </c>
      <c r="L147" s="6" t="s">
        <v>460</v>
      </c>
      <c r="M147" s="6" t="n">
        <v>4</v>
      </c>
      <c r="N147" s="6"/>
      <c r="O147" s="6"/>
    </row>
    <row r="148" customFormat="false" ht="74.6" hidden="false" customHeight="false" outlineLevel="0" collapsed="false">
      <c r="A148" s="14" t="n">
        <v>147</v>
      </c>
      <c r="B148" s="15" t="n">
        <v>46418</v>
      </c>
      <c r="C148" s="14" t="n">
        <v>21</v>
      </c>
      <c r="D148" s="14" t="s">
        <v>57</v>
      </c>
      <c r="E148" s="14" t="s">
        <v>927</v>
      </c>
      <c r="F148" s="14" t="s">
        <v>201</v>
      </c>
      <c r="G148" s="14" t="s">
        <v>202</v>
      </c>
      <c r="H148" s="14" t="s">
        <v>181</v>
      </c>
      <c r="I148" s="14" t="s">
        <v>182</v>
      </c>
      <c r="J148" s="14" t="s">
        <v>928</v>
      </c>
      <c r="K148" s="14" t="s">
        <v>201</v>
      </c>
      <c r="L148" s="14" t="s">
        <v>204</v>
      </c>
      <c r="M148" s="14" t="n">
        <v>4</v>
      </c>
      <c r="N148" s="14"/>
      <c r="O148" s="14"/>
    </row>
    <row r="149" customFormat="false" ht="22.35" hidden="false" customHeight="false" outlineLevel="0" collapsed="false">
      <c r="A149" s="6" t="n">
        <v>148</v>
      </c>
      <c r="B149" s="12" t="n">
        <v>46419</v>
      </c>
      <c r="C149" s="6" t="n">
        <v>22</v>
      </c>
      <c r="D149" s="6" t="s">
        <v>57</v>
      </c>
      <c r="E149" s="6" t="s">
        <v>929</v>
      </c>
      <c r="F149" s="6" t="s">
        <v>930</v>
      </c>
      <c r="G149" s="6" t="s">
        <v>931</v>
      </c>
      <c r="H149" s="6" t="s">
        <v>863</v>
      </c>
      <c r="I149" s="6" t="s">
        <v>864</v>
      </c>
      <c r="J149" s="6" t="s">
        <v>932</v>
      </c>
      <c r="K149" s="6" t="s">
        <v>933</v>
      </c>
      <c r="L149" s="6" t="s">
        <v>934</v>
      </c>
      <c r="M149" s="6" t="n">
        <v>4</v>
      </c>
      <c r="N149" s="6"/>
      <c r="O149" s="6"/>
    </row>
    <row r="150" customFormat="false" ht="22.35" hidden="false" customHeight="false" outlineLevel="0" collapsed="false">
      <c r="A150" s="6" t="n">
        <v>149</v>
      </c>
      <c r="B150" s="12" t="n">
        <v>46420</v>
      </c>
      <c r="C150" s="6" t="n">
        <v>22</v>
      </c>
      <c r="D150" s="6" t="s">
        <v>57</v>
      </c>
      <c r="E150" s="6" t="s">
        <v>935</v>
      </c>
      <c r="F150" s="6" t="s">
        <v>936</v>
      </c>
      <c r="G150" s="6" t="s">
        <v>937</v>
      </c>
      <c r="H150" s="6" t="s">
        <v>863</v>
      </c>
      <c r="I150" s="6" t="s">
        <v>864</v>
      </c>
      <c r="J150" s="6" t="s">
        <v>938</v>
      </c>
      <c r="K150" s="6" t="s">
        <v>939</v>
      </c>
      <c r="L150" s="6" t="s">
        <v>216</v>
      </c>
      <c r="M150" s="6" t="n">
        <v>4</v>
      </c>
      <c r="N150" s="6"/>
      <c r="O150" s="6"/>
    </row>
    <row r="151" customFormat="false" ht="22.35" hidden="false" customHeight="false" outlineLevel="0" collapsed="false">
      <c r="A151" s="6" t="n">
        <v>150</v>
      </c>
      <c r="B151" s="12" t="n">
        <v>46421</v>
      </c>
      <c r="C151" s="6" t="n">
        <v>22</v>
      </c>
      <c r="D151" s="6" t="s">
        <v>57</v>
      </c>
      <c r="E151" s="6" t="s">
        <v>940</v>
      </c>
      <c r="F151" s="6" t="s">
        <v>941</v>
      </c>
      <c r="G151" s="6" t="s">
        <v>942</v>
      </c>
      <c r="H151" s="6" t="s">
        <v>942</v>
      </c>
      <c r="I151" s="6" t="s">
        <v>943</v>
      </c>
      <c r="J151" s="6" t="s">
        <v>944</v>
      </c>
      <c r="K151" s="6" t="s">
        <v>945</v>
      </c>
      <c r="L151" s="6" t="s">
        <v>946</v>
      </c>
      <c r="M151" s="6" t="n">
        <v>4</v>
      </c>
      <c r="N151" s="6"/>
      <c r="O151" s="6"/>
    </row>
    <row r="152" customFormat="false" ht="22.35" hidden="false" customHeight="false" outlineLevel="0" collapsed="false">
      <c r="A152" s="6" t="n">
        <v>151</v>
      </c>
      <c r="B152" s="12" t="n">
        <v>46422</v>
      </c>
      <c r="C152" s="6" t="n">
        <v>22</v>
      </c>
      <c r="D152" s="6" t="s">
        <v>57</v>
      </c>
      <c r="E152" s="6" t="s">
        <v>947</v>
      </c>
      <c r="F152" s="6" t="s">
        <v>948</v>
      </c>
      <c r="G152" s="6" t="s">
        <v>949</v>
      </c>
      <c r="H152" s="6" t="s">
        <v>863</v>
      </c>
      <c r="I152" s="6" t="s">
        <v>864</v>
      </c>
      <c r="J152" s="6" t="s">
        <v>950</v>
      </c>
      <c r="K152" s="6" t="s">
        <v>951</v>
      </c>
      <c r="L152" s="6" t="s">
        <v>447</v>
      </c>
      <c r="M152" s="6" t="n">
        <v>4</v>
      </c>
      <c r="N152" s="6"/>
      <c r="O152" s="6"/>
    </row>
    <row r="153" customFormat="false" ht="22.35" hidden="false" customHeight="false" outlineLevel="0" collapsed="false">
      <c r="A153" s="6" t="n">
        <v>152</v>
      </c>
      <c r="B153" s="12" t="n">
        <v>46423</v>
      </c>
      <c r="C153" s="6" t="n">
        <v>22</v>
      </c>
      <c r="D153" s="6" t="s">
        <v>57</v>
      </c>
      <c r="E153" s="6" t="s">
        <v>952</v>
      </c>
      <c r="F153" s="6" t="s">
        <v>953</v>
      </c>
      <c r="G153" s="6" t="s">
        <v>954</v>
      </c>
      <c r="H153" s="6" t="s">
        <v>916</v>
      </c>
      <c r="I153" s="6" t="s">
        <v>917</v>
      </c>
      <c r="J153" s="6" t="s">
        <v>955</v>
      </c>
      <c r="K153" s="6" t="s">
        <v>956</v>
      </c>
      <c r="L153" s="6" t="s">
        <v>216</v>
      </c>
      <c r="M153" s="6" t="n">
        <v>4</v>
      </c>
      <c r="N153" s="6"/>
      <c r="O153" s="6"/>
    </row>
    <row r="154" customFormat="false" ht="22.35" hidden="false" customHeight="false" outlineLevel="0" collapsed="false">
      <c r="A154" s="6" t="n">
        <v>153</v>
      </c>
      <c r="B154" s="12" t="n">
        <v>46424</v>
      </c>
      <c r="C154" s="6" t="n">
        <v>22</v>
      </c>
      <c r="D154" s="6" t="s">
        <v>57</v>
      </c>
      <c r="E154" s="6" t="s">
        <v>957</v>
      </c>
      <c r="F154" s="6" t="s">
        <v>958</v>
      </c>
      <c r="G154" s="6" t="s">
        <v>959</v>
      </c>
      <c r="H154" s="6" t="s">
        <v>960</v>
      </c>
      <c r="I154" s="6" t="s">
        <v>961</v>
      </c>
      <c r="J154" s="6" t="s">
        <v>962</v>
      </c>
      <c r="K154" s="6" t="s">
        <v>963</v>
      </c>
      <c r="L154" s="6" t="s">
        <v>460</v>
      </c>
      <c r="M154" s="6" t="n">
        <v>4</v>
      </c>
      <c r="N154" s="6"/>
      <c r="O154" s="6"/>
    </row>
    <row r="155" customFormat="false" ht="64.15" hidden="false" customHeight="false" outlineLevel="0" collapsed="false">
      <c r="A155" s="14" t="n">
        <v>154</v>
      </c>
      <c r="B155" s="15" t="n">
        <v>46425</v>
      </c>
      <c r="C155" s="14" t="n">
        <v>22</v>
      </c>
      <c r="D155" s="14" t="s">
        <v>57</v>
      </c>
      <c r="E155" s="14" t="s">
        <v>964</v>
      </c>
      <c r="F155" s="14" t="s">
        <v>201</v>
      </c>
      <c r="G155" s="14" t="s">
        <v>202</v>
      </c>
      <c r="H155" s="14" t="s">
        <v>181</v>
      </c>
      <c r="I155" s="14" t="s">
        <v>182</v>
      </c>
      <c r="J155" s="14" t="s">
        <v>965</v>
      </c>
      <c r="K155" s="14" t="s">
        <v>201</v>
      </c>
      <c r="L155" s="14" t="s">
        <v>204</v>
      </c>
      <c r="M155" s="14" t="n">
        <v>4</v>
      </c>
      <c r="N155" s="14"/>
      <c r="O155" s="14"/>
    </row>
    <row r="156" customFormat="false" ht="22.35" hidden="false" customHeight="false" outlineLevel="0" collapsed="false">
      <c r="A156" s="6" t="n">
        <v>155</v>
      </c>
      <c r="B156" s="12" t="n">
        <v>46426</v>
      </c>
      <c r="C156" s="6" t="n">
        <v>23</v>
      </c>
      <c r="D156" s="6" t="s">
        <v>57</v>
      </c>
      <c r="E156" s="6" t="s">
        <v>966</v>
      </c>
      <c r="F156" s="6" t="s">
        <v>967</v>
      </c>
      <c r="G156" s="6" t="s">
        <v>968</v>
      </c>
      <c r="H156" s="6" t="s">
        <v>916</v>
      </c>
      <c r="I156" s="6" t="s">
        <v>917</v>
      </c>
      <c r="J156" s="6" t="s">
        <v>969</v>
      </c>
      <c r="K156" s="6" t="s">
        <v>970</v>
      </c>
      <c r="L156" s="6" t="s">
        <v>447</v>
      </c>
      <c r="M156" s="6" t="n">
        <v>4</v>
      </c>
      <c r="N156" s="6"/>
      <c r="O156" s="6"/>
    </row>
    <row r="157" customFormat="false" ht="22.35" hidden="false" customHeight="false" outlineLevel="0" collapsed="false">
      <c r="A157" s="6" t="n">
        <v>156</v>
      </c>
      <c r="B157" s="12" t="n">
        <v>46427</v>
      </c>
      <c r="C157" s="6" t="n">
        <v>23</v>
      </c>
      <c r="D157" s="6" t="s">
        <v>57</v>
      </c>
      <c r="E157" s="6" t="s">
        <v>971</v>
      </c>
      <c r="F157" s="6" t="s">
        <v>972</v>
      </c>
      <c r="G157" s="6" t="s">
        <v>973</v>
      </c>
      <c r="H157" s="6" t="s">
        <v>974</v>
      </c>
      <c r="I157" s="6" t="s">
        <v>975</v>
      </c>
      <c r="J157" s="6" t="s">
        <v>976</v>
      </c>
      <c r="K157" s="6" t="s">
        <v>977</v>
      </c>
      <c r="L157" s="6" t="s">
        <v>216</v>
      </c>
      <c r="M157" s="6" t="n">
        <v>4</v>
      </c>
      <c r="N157" s="6"/>
      <c r="O157" s="6"/>
    </row>
    <row r="158" customFormat="false" ht="22.35" hidden="false" customHeight="false" outlineLevel="0" collapsed="false">
      <c r="A158" s="6" t="n">
        <v>157</v>
      </c>
      <c r="B158" s="12" t="n">
        <v>46428</v>
      </c>
      <c r="C158" s="6" t="n">
        <v>23</v>
      </c>
      <c r="D158" s="6" t="s">
        <v>57</v>
      </c>
      <c r="E158" s="6" t="s">
        <v>978</v>
      </c>
      <c r="F158" s="6" t="s">
        <v>979</v>
      </c>
      <c r="G158" s="6" t="s">
        <v>980</v>
      </c>
      <c r="H158" s="6" t="s">
        <v>916</v>
      </c>
      <c r="I158" s="6" t="s">
        <v>917</v>
      </c>
      <c r="J158" s="6" t="s">
        <v>981</v>
      </c>
      <c r="K158" s="6" t="s">
        <v>982</v>
      </c>
      <c r="L158" s="6" t="s">
        <v>983</v>
      </c>
      <c r="M158" s="6" t="n">
        <v>4</v>
      </c>
      <c r="N158" s="6"/>
      <c r="O158" s="6"/>
    </row>
    <row r="159" customFormat="false" ht="22.35" hidden="false" customHeight="false" outlineLevel="0" collapsed="false">
      <c r="A159" s="6" t="n">
        <v>158</v>
      </c>
      <c r="B159" s="12" t="n">
        <v>46429</v>
      </c>
      <c r="C159" s="6" t="n">
        <v>23</v>
      </c>
      <c r="D159" s="6" t="s">
        <v>57</v>
      </c>
      <c r="E159" s="6" t="s">
        <v>984</v>
      </c>
      <c r="F159" s="6" t="s">
        <v>985</v>
      </c>
      <c r="G159" s="6" t="s">
        <v>986</v>
      </c>
      <c r="H159" s="6" t="s">
        <v>987</v>
      </c>
      <c r="I159" s="6" t="s">
        <v>988</v>
      </c>
      <c r="J159" s="6" t="s">
        <v>989</v>
      </c>
      <c r="K159" s="6" t="s">
        <v>990</v>
      </c>
      <c r="L159" s="6" t="s">
        <v>991</v>
      </c>
      <c r="M159" s="6" t="n">
        <v>4</v>
      </c>
      <c r="N159" s="6"/>
      <c r="O159" s="6"/>
    </row>
    <row r="160" customFormat="false" ht="22.35" hidden="false" customHeight="false" outlineLevel="0" collapsed="false">
      <c r="A160" s="6" t="n">
        <v>159</v>
      </c>
      <c r="B160" s="12" t="n">
        <v>46430</v>
      </c>
      <c r="C160" s="6" t="n">
        <v>23</v>
      </c>
      <c r="D160" s="6" t="s">
        <v>57</v>
      </c>
      <c r="E160" s="6" t="s">
        <v>992</v>
      </c>
      <c r="F160" s="6" t="s">
        <v>993</v>
      </c>
      <c r="G160" s="6" t="s">
        <v>994</v>
      </c>
      <c r="H160" s="6" t="s">
        <v>995</v>
      </c>
      <c r="I160" s="6" t="s">
        <v>996</v>
      </c>
      <c r="J160" s="6" t="s">
        <v>997</v>
      </c>
      <c r="K160" s="6" t="s">
        <v>998</v>
      </c>
      <c r="L160" s="6" t="s">
        <v>999</v>
      </c>
      <c r="M160" s="6" t="n">
        <v>4</v>
      </c>
      <c r="N160" s="6"/>
      <c r="O160" s="6"/>
    </row>
    <row r="161" customFormat="false" ht="22.35" hidden="false" customHeight="false" outlineLevel="0" collapsed="false">
      <c r="A161" s="6" t="n">
        <v>160</v>
      </c>
      <c r="B161" s="12" t="n">
        <v>46431</v>
      </c>
      <c r="C161" s="6" t="n">
        <v>23</v>
      </c>
      <c r="D161" s="6" t="s">
        <v>57</v>
      </c>
      <c r="E161" s="6" t="s">
        <v>1000</v>
      </c>
      <c r="F161" s="6" t="s">
        <v>1001</v>
      </c>
      <c r="G161" s="6" t="s">
        <v>1002</v>
      </c>
      <c r="H161" s="6" t="s">
        <v>916</v>
      </c>
      <c r="I161" s="6" t="s">
        <v>917</v>
      </c>
      <c r="J161" s="6" t="s">
        <v>1003</v>
      </c>
      <c r="K161" s="6" t="s">
        <v>1004</v>
      </c>
      <c r="L161" s="6" t="s">
        <v>1005</v>
      </c>
      <c r="M161" s="6" t="n">
        <v>4</v>
      </c>
      <c r="N161" s="6"/>
      <c r="O161" s="6"/>
    </row>
    <row r="162" customFormat="false" ht="64.15" hidden="false" customHeight="false" outlineLevel="0" collapsed="false">
      <c r="A162" s="14" t="n">
        <v>161</v>
      </c>
      <c r="B162" s="15" t="n">
        <v>46432</v>
      </c>
      <c r="C162" s="14" t="n">
        <v>23</v>
      </c>
      <c r="D162" s="14" t="s">
        <v>57</v>
      </c>
      <c r="E162" s="14" t="s">
        <v>1006</v>
      </c>
      <c r="F162" s="14" t="s">
        <v>201</v>
      </c>
      <c r="G162" s="14" t="s">
        <v>202</v>
      </c>
      <c r="H162" s="14" t="s">
        <v>181</v>
      </c>
      <c r="I162" s="14" t="s">
        <v>182</v>
      </c>
      <c r="J162" s="14" t="s">
        <v>1007</v>
      </c>
      <c r="K162" s="14" t="s">
        <v>201</v>
      </c>
      <c r="L162" s="14" t="s">
        <v>204</v>
      </c>
      <c r="M162" s="14" t="n">
        <v>4</v>
      </c>
      <c r="N162" s="14"/>
      <c r="O162" s="14"/>
    </row>
    <row r="163" customFormat="false" ht="22.35" hidden="false" customHeight="false" outlineLevel="0" collapsed="false">
      <c r="A163" s="6" t="n">
        <v>162</v>
      </c>
      <c r="B163" s="12" t="n">
        <v>46433</v>
      </c>
      <c r="C163" s="6" t="n">
        <v>24</v>
      </c>
      <c r="D163" s="6" t="s">
        <v>57</v>
      </c>
      <c r="E163" s="6" t="s">
        <v>1008</v>
      </c>
      <c r="F163" s="6" t="s">
        <v>1009</v>
      </c>
      <c r="G163" s="6" t="s">
        <v>1010</v>
      </c>
      <c r="H163" s="6" t="s">
        <v>1011</v>
      </c>
      <c r="I163" s="6" t="s">
        <v>1012</v>
      </c>
      <c r="J163" s="6" t="s">
        <v>1013</v>
      </c>
      <c r="K163" s="6" t="s">
        <v>1014</v>
      </c>
      <c r="L163" s="6" t="s">
        <v>1015</v>
      </c>
      <c r="M163" s="6" t="n">
        <v>3</v>
      </c>
      <c r="N163" s="6"/>
      <c r="O163" s="6"/>
    </row>
    <row r="164" customFormat="false" ht="22.35" hidden="false" customHeight="false" outlineLevel="0" collapsed="false">
      <c r="A164" s="6" t="n">
        <v>163</v>
      </c>
      <c r="B164" s="12" t="n">
        <v>46434</v>
      </c>
      <c r="C164" s="6" t="n">
        <v>24</v>
      </c>
      <c r="D164" s="6" t="s">
        <v>57</v>
      </c>
      <c r="E164" s="6" t="s">
        <v>1016</v>
      </c>
      <c r="F164" s="6" t="s">
        <v>1017</v>
      </c>
      <c r="G164" s="6" t="s">
        <v>1018</v>
      </c>
      <c r="H164" s="6" t="s">
        <v>181</v>
      </c>
      <c r="I164" s="6" t="s">
        <v>182</v>
      </c>
      <c r="J164" s="6" t="s">
        <v>1019</v>
      </c>
      <c r="K164" s="6" t="s">
        <v>1020</v>
      </c>
      <c r="L164" s="6" t="s">
        <v>1021</v>
      </c>
      <c r="M164" s="6" t="n">
        <v>3</v>
      </c>
      <c r="N164" s="6"/>
      <c r="O164" s="6"/>
    </row>
    <row r="165" customFormat="false" ht="22.35" hidden="false" customHeight="false" outlineLevel="0" collapsed="false">
      <c r="A165" s="6" t="n">
        <v>164</v>
      </c>
      <c r="B165" s="12" t="n">
        <v>46435</v>
      </c>
      <c r="C165" s="6" t="n">
        <v>24</v>
      </c>
      <c r="D165" s="6" t="s">
        <v>57</v>
      </c>
      <c r="E165" s="6" t="s">
        <v>1022</v>
      </c>
      <c r="F165" s="6" t="s">
        <v>1023</v>
      </c>
      <c r="G165" s="6" t="s">
        <v>1024</v>
      </c>
      <c r="H165" s="6" t="s">
        <v>1025</v>
      </c>
      <c r="I165" s="6" t="s">
        <v>1026</v>
      </c>
      <c r="J165" s="6" t="s">
        <v>1027</v>
      </c>
      <c r="K165" s="6" t="s">
        <v>1028</v>
      </c>
      <c r="L165" s="6" t="s">
        <v>216</v>
      </c>
      <c r="M165" s="6" t="n">
        <v>3</v>
      </c>
      <c r="N165" s="6"/>
      <c r="O165" s="6"/>
    </row>
    <row r="166" customFormat="false" ht="22.35" hidden="false" customHeight="false" outlineLevel="0" collapsed="false">
      <c r="A166" s="6" t="n">
        <v>165</v>
      </c>
      <c r="B166" s="12" t="n">
        <v>46436</v>
      </c>
      <c r="C166" s="6" t="n">
        <v>24</v>
      </c>
      <c r="D166" s="6" t="s">
        <v>57</v>
      </c>
      <c r="E166" s="6" t="s">
        <v>1029</v>
      </c>
      <c r="F166" s="6" t="s">
        <v>1030</v>
      </c>
      <c r="G166" s="6" t="s">
        <v>1031</v>
      </c>
      <c r="H166" s="6" t="s">
        <v>1032</v>
      </c>
      <c r="I166" s="6" t="s">
        <v>1033</v>
      </c>
      <c r="J166" s="6" t="s">
        <v>1034</v>
      </c>
      <c r="K166" s="6" t="s">
        <v>1035</v>
      </c>
      <c r="L166" s="6" t="s">
        <v>222</v>
      </c>
      <c r="M166" s="6" t="n">
        <v>3</v>
      </c>
      <c r="N166" s="6"/>
      <c r="O166" s="6"/>
    </row>
    <row r="167" customFormat="false" ht="22.35" hidden="false" customHeight="false" outlineLevel="0" collapsed="false">
      <c r="A167" s="6" t="n">
        <v>166</v>
      </c>
      <c r="B167" s="12" t="n">
        <v>46437</v>
      </c>
      <c r="C167" s="6" t="n">
        <v>24</v>
      </c>
      <c r="D167" s="6" t="s">
        <v>57</v>
      </c>
      <c r="E167" s="6" t="s">
        <v>1036</v>
      </c>
      <c r="F167" s="6" t="s">
        <v>1037</v>
      </c>
      <c r="G167" s="6" t="s">
        <v>1038</v>
      </c>
      <c r="H167" s="6" t="s">
        <v>1038</v>
      </c>
      <c r="I167" s="6" t="s">
        <v>1039</v>
      </c>
      <c r="J167" s="6" t="s">
        <v>1040</v>
      </c>
      <c r="K167" s="6" t="s">
        <v>1041</v>
      </c>
      <c r="L167" s="6" t="s">
        <v>216</v>
      </c>
      <c r="M167" s="6" t="n">
        <v>3</v>
      </c>
      <c r="N167" s="6"/>
      <c r="O167" s="6"/>
    </row>
    <row r="168" customFormat="false" ht="22.35" hidden="false" customHeight="false" outlineLevel="0" collapsed="false">
      <c r="A168" s="6" t="n">
        <v>167</v>
      </c>
      <c r="B168" s="12" t="n">
        <v>46438</v>
      </c>
      <c r="C168" s="6" t="n">
        <v>24</v>
      </c>
      <c r="D168" s="6" t="s">
        <v>57</v>
      </c>
      <c r="E168" s="6" t="s">
        <v>1042</v>
      </c>
      <c r="F168" s="6" t="s">
        <v>1043</v>
      </c>
      <c r="G168" s="6" t="s">
        <v>1044</v>
      </c>
      <c r="H168" s="6" t="s">
        <v>1045</v>
      </c>
      <c r="I168" s="6" t="s">
        <v>1046</v>
      </c>
      <c r="J168" s="6" t="s">
        <v>1047</v>
      </c>
      <c r="K168" s="6" t="s">
        <v>1048</v>
      </c>
      <c r="L168" s="6" t="s">
        <v>1049</v>
      </c>
      <c r="M168" s="6" t="n">
        <v>3</v>
      </c>
      <c r="N168" s="6"/>
      <c r="O168" s="6"/>
    </row>
    <row r="169" customFormat="false" ht="74.6" hidden="false" customHeight="false" outlineLevel="0" collapsed="false">
      <c r="A169" s="14" t="n">
        <v>168</v>
      </c>
      <c r="B169" s="15" t="n">
        <v>46439</v>
      </c>
      <c r="C169" s="14" t="n">
        <v>24</v>
      </c>
      <c r="D169" s="14" t="s">
        <v>57</v>
      </c>
      <c r="E169" s="14" t="s">
        <v>1050</v>
      </c>
      <c r="F169" s="14" t="s">
        <v>201</v>
      </c>
      <c r="G169" s="14" t="s">
        <v>202</v>
      </c>
      <c r="H169" s="14" t="s">
        <v>181</v>
      </c>
      <c r="I169" s="14" t="s">
        <v>182</v>
      </c>
      <c r="J169" s="14" t="s">
        <v>1051</v>
      </c>
      <c r="K169" s="14" t="s">
        <v>201</v>
      </c>
      <c r="L169" s="14" t="s">
        <v>204</v>
      </c>
      <c r="M169" s="14" t="n">
        <v>3</v>
      </c>
      <c r="N169" s="14"/>
      <c r="O169" s="14"/>
    </row>
    <row r="170" customFormat="false" ht="22.35" hidden="false" customHeight="false" outlineLevel="0" collapsed="false">
      <c r="A170" s="6" t="n">
        <v>169</v>
      </c>
      <c r="B170" s="12" t="n">
        <v>46440</v>
      </c>
      <c r="C170" s="6" t="n">
        <v>25</v>
      </c>
      <c r="D170" s="6" t="s">
        <v>57</v>
      </c>
      <c r="E170" s="6" t="s">
        <v>1052</v>
      </c>
      <c r="F170" s="6" t="s">
        <v>1053</v>
      </c>
      <c r="G170" s="6" t="s">
        <v>551</v>
      </c>
      <c r="H170" s="6" t="s">
        <v>181</v>
      </c>
      <c r="I170" s="6" t="s">
        <v>182</v>
      </c>
      <c r="J170" s="6" t="s">
        <v>1054</v>
      </c>
      <c r="K170" s="6" t="s">
        <v>1055</v>
      </c>
      <c r="L170" s="6" t="s">
        <v>216</v>
      </c>
      <c r="M170" s="6" t="n">
        <v>5</v>
      </c>
      <c r="N170" s="6"/>
      <c r="O170" s="6"/>
    </row>
    <row r="171" customFormat="false" ht="22.35" hidden="false" customHeight="false" outlineLevel="0" collapsed="false">
      <c r="A171" s="6" t="n">
        <v>170</v>
      </c>
      <c r="B171" s="12" t="n">
        <v>46441</v>
      </c>
      <c r="C171" s="6" t="n">
        <v>25</v>
      </c>
      <c r="D171" s="6" t="s">
        <v>57</v>
      </c>
      <c r="E171" s="6" t="s">
        <v>1056</v>
      </c>
      <c r="F171" s="6" t="s">
        <v>1057</v>
      </c>
      <c r="G171" s="6" t="s">
        <v>551</v>
      </c>
      <c r="H171" s="6" t="s">
        <v>181</v>
      </c>
      <c r="I171" s="6" t="s">
        <v>182</v>
      </c>
      <c r="J171" s="6" t="s">
        <v>1058</v>
      </c>
      <c r="K171" s="6" t="s">
        <v>1059</v>
      </c>
      <c r="L171" s="6" t="s">
        <v>1060</v>
      </c>
      <c r="M171" s="6" t="n">
        <v>5</v>
      </c>
      <c r="N171" s="6"/>
      <c r="O171" s="6"/>
    </row>
    <row r="172" customFormat="false" ht="22.35" hidden="false" customHeight="false" outlineLevel="0" collapsed="false">
      <c r="A172" s="6" t="n">
        <v>171</v>
      </c>
      <c r="B172" s="12" t="n">
        <v>46442</v>
      </c>
      <c r="C172" s="6" t="n">
        <v>25</v>
      </c>
      <c r="D172" s="6" t="s">
        <v>57</v>
      </c>
      <c r="E172" s="6" t="s">
        <v>1061</v>
      </c>
      <c r="F172" s="6" t="s">
        <v>1062</v>
      </c>
      <c r="G172" s="6" t="s">
        <v>551</v>
      </c>
      <c r="H172" s="6" t="s">
        <v>181</v>
      </c>
      <c r="I172" s="6" t="s">
        <v>182</v>
      </c>
      <c r="J172" s="6" t="s">
        <v>1063</v>
      </c>
      <c r="K172" s="6" t="s">
        <v>1064</v>
      </c>
      <c r="L172" s="6" t="s">
        <v>1065</v>
      </c>
      <c r="M172" s="6" t="n">
        <v>5</v>
      </c>
      <c r="N172" s="6"/>
      <c r="O172" s="6"/>
    </row>
    <row r="173" customFormat="false" ht="22.35" hidden="false" customHeight="false" outlineLevel="0" collapsed="false">
      <c r="A173" s="6" t="n">
        <v>172</v>
      </c>
      <c r="B173" s="12" t="n">
        <v>46443</v>
      </c>
      <c r="C173" s="6" t="n">
        <v>25</v>
      </c>
      <c r="D173" s="6" t="s">
        <v>57</v>
      </c>
      <c r="E173" s="6" t="s">
        <v>1066</v>
      </c>
      <c r="F173" s="6" t="s">
        <v>1067</v>
      </c>
      <c r="G173" s="6" t="s">
        <v>551</v>
      </c>
      <c r="H173" s="6" t="s">
        <v>181</v>
      </c>
      <c r="I173" s="6" t="s">
        <v>182</v>
      </c>
      <c r="J173" s="6" t="s">
        <v>1068</v>
      </c>
      <c r="K173" s="6" t="s">
        <v>1069</v>
      </c>
      <c r="L173" s="6" t="s">
        <v>934</v>
      </c>
      <c r="M173" s="6" t="n">
        <v>5</v>
      </c>
      <c r="N173" s="6"/>
      <c r="O173" s="6"/>
    </row>
    <row r="174" customFormat="false" ht="22.35" hidden="false" customHeight="false" outlineLevel="0" collapsed="false">
      <c r="A174" s="6" t="n">
        <v>173</v>
      </c>
      <c r="B174" s="12" t="n">
        <v>46444</v>
      </c>
      <c r="C174" s="6" t="n">
        <v>25</v>
      </c>
      <c r="D174" s="6" t="s">
        <v>57</v>
      </c>
      <c r="E174" s="6" t="s">
        <v>1070</v>
      </c>
      <c r="F174" s="6" t="s">
        <v>1071</v>
      </c>
      <c r="G174" s="6" t="s">
        <v>551</v>
      </c>
      <c r="H174" s="6" t="s">
        <v>181</v>
      </c>
      <c r="I174" s="6" t="s">
        <v>182</v>
      </c>
      <c r="J174" s="6" t="s">
        <v>1072</v>
      </c>
      <c r="K174" s="6" t="s">
        <v>1073</v>
      </c>
      <c r="L174" s="6" t="s">
        <v>7</v>
      </c>
      <c r="M174" s="6" t="n">
        <v>5</v>
      </c>
      <c r="N174" s="6"/>
      <c r="O174" s="6"/>
    </row>
    <row r="175" customFormat="false" ht="22.35" hidden="false" customHeight="false" outlineLevel="0" collapsed="false">
      <c r="A175" s="6" t="n">
        <v>174</v>
      </c>
      <c r="B175" s="12" t="n">
        <v>46445</v>
      </c>
      <c r="C175" s="6" t="n">
        <v>25</v>
      </c>
      <c r="D175" s="6" t="s">
        <v>57</v>
      </c>
      <c r="E175" s="6" t="s">
        <v>1074</v>
      </c>
      <c r="F175" s="6" t="s">
        <v>1075</v>
      </c>
      <c r="G175" s="6" t="s">
        <v>551</v>
      </c>
      <c r="H175" s="6" t="s">
        <v>181</v>
      </c>
      <c r="I175" s="6" t="s">
        <v>182</v>
      </c>
      <c r="J175" s="6" t="s">
        <v>1076</v>
      </c>
      <c r="K175" s="6" t="s">
        <v>1077</v>
      </c>
      <c r="L175" s="6" t="s">
        <v>1078</v>
      </c>
      <c r="M175" s="6" t="n">
        <v>5</v>
      </c>
      <c r="N175" s="6"/>
      <c r="O175" s="6"/>
    </row>
    <row r="176" customFormat="false" ht="64.15" hidden="false" customHeight="false" outlineLevel="0" collapsed="false">
      <c r="A176" s="14" t="n">
        <v>175</v>
      </c>
      <c r="B176" s="15" t="n">
        <v>46446</v>
      </c>
      <c r="C176" s="14" t="n">
        <v>25</v>
      </c>
      <c r="D176" s="14" t="s">
        <v>57</v>
      </c>
      <c r="E176" s="14" t="s">
        <v>1079</v>
      </c>
      <c r="F176" s="14" t="s">
        <v>201</v>
      </c>
      <c r="G176" s="14" t="s">
        <v>202</v>
      </c>
      <c r="H176" s="14" t="s">
        <v>181</v>
      </c>
      <c r="I176" s="14" t="s">
        <v>182</v>
      </c>
      <c r="J176" s="14" t="s">
        <v>1080</v>
      </c>
      <c r="K176" s="14" t="s">
        <v>201</v>
      </c>
      <c r="L176" s="14" t="s">
        <v>204</v>
      </c>
      <c r="M176" s="14" t="n">
        <v>5</v>
      </c>
      <c r="N176" s="14"/>
      <c r="O176" s="14"/>
    </row>
    <row r="177" customFormat="false" ht="22.35" hidden="false" customHeight="false" outlineLevel="0" collapsed="false">
      <c r="A177" s="6" t="n">
        <v>176</v>
      </c>
      <c r="B177" s="12" t="n">
        <v>46447</v>
      </c>
      <c r="C177" s="6" t="n">
        <v>26</v>
      </c>
      <c r="D177" s="6" t="s">
        <v>57</v>
      </c>
      <c r="E177" s="6" t="s">
        <v>1081</v>
      </c>
      <c r="F177" s="6" t="s">
        <v>1082</v>
      </c>
      <c r="G177" s="6" t="s">
        <v>551</v>
      </c>
      <c r="H177" s="6" t="s">
        <v>181</v>
      </c>
      <c r="I177" s="6" t="s">
        <v>182</v>
      </c>
      <c r="J177" s="6" t="s">
        <v>1083</v>
      </c>
      <c r="K177" s="6" t="s">
        <v>1084</v>
      </c>
      <c r="L177" s="6" t="s">
        <v>447</v>
      </c>
      <c r="M177" s="6" t="n">
        <v>5</v>
      </c>
      <c r="N177" s="6"/>
      <c r="O177" s="6"/>
    </row>
    <row r="178" customFormat="false" ht="22.35" hidden="false" customHeight="false" outlineLevel="0" collapsed="false">
      <c r="A178" s="6" t="n">
        <v>177</v>
      </c>
      <c r="B178" s="12" t="n">
        <v>46448</v>
      </c>
      <c r="C178" s="6" t="n">
        <v>26</v>
      </c>
      <c r="D178" s="6" t="s">
        <v>57</v>
      </c>
      <c r="E178" s="6" t="s">
        <v>1085</v>
      </c>
      <c r="F178" s="6" t="s">
        <v>1086</v>
      </c>
      <c r="G178" s="6" t="s">
        <v>551</v>
      </c>
      <c r="H178" s="6" t="s">
        <v>181</v>
      </c>
      <c r="I178" s="6" t="s">
        <v>182</v>
      </c>
      <c r="J178" s="6" t="s">
        <v>1087</v>
      </c>
      <c r="K178" s="6" t="s">
        <v>1088</v>
      </c>
      <c r="L178" s="6" t="s">
        <v>1089</v>
      </c>
      <c r="M178" s="6" t="n">
        <v>5</v>
      </c>
      <c r="N178" s="6"/>
      <c r="O178" s="6"/>
    </row>
    <row r="179" customFormat="false" ht="22.35" hidden="false" customHeight="false" outlineLevel="0" collapsed="false">
      <c r="A179" s="6" t="n">
        <v>178</v>
      </c>
      <c r="B179" s="12" t="n">
        <v>46449</v>
      </c>
      <c r="C179" s="6" t="n">
        <v>26</v>
      </c>
      <c r="D179" s="6" t="s">
        <v>57</v>
      </c>
      <c r="E179" s="6" t="s">
        <v>1090</v>
      </c>
      <c r="F179" s="6" t="s">
        <v>1091</v>
      </c>
      <c r="G179" s="6" t="s">
        <v>1092</v>
      </c>
      <c r="H179" s="6" t="s">
        <v>923</v>
      </c>
      <c r="I179" s="6" t="s">
        <v>924</v>
      </c>
      <c r="J179" s="6" t="s">
        <v>1093</v>
      </c>
      <c r="K179" s="6" t="s">
        <v>1094</v>
      </c>
      <c r="L179" s="6" t="s">
        <v>216</v>
      </c>
      <c r="M179" s="6" t="n">
        <v>5</v>
      </c>
      <c r="N179" s="6"/>
      <c r="O179" s="6"/>
    </row>
    <row r="180" customFormat="false" ht="22.35" hidden="false" customHeight="false" outlineLevel="0" collapsed="false">
      <c r="A180" s="6" t="n">
        <v>179</v>
      </c>
      <c r="B180" s="12" t="n">
        <v>46450</v>
      </c>
      <c r="C180" s="6" t="n">
        <v>26</v>
      </c>
      <c r="D180" s="6" t="s">
        <v>57</v>
      </c>
      <c r="E180" s="6" t="s">
        <v>1095</v>
      </c>
      <c r="F180" s="6" t="s">
        <v>1096</v>
      </c>
      <c r="G180" s="6" t="s">
        <v>551</v>
      </c>
      <c r="H180" s="6" t="s">
        <v>181</v>
      </c>
      <c r="I180" s="6" t="s">
        <v>182</v>
      </c>
      <c r="J180" s="6" t="s">
        <v>593</v>
      </c>
      <c r="K180" s="6" t="s">
        <v>1097</v>
      </c>
      <c r="L180" s="6" t="s">
        <v>593</v>
      </c>
      <c r="M180" s="6" t="n">
        <v>5</v>
      </c>
      <c r="N180" s="6"/>
      <c r="O180" s="6"/>
    </row>
    <row r="181" customFormat="false" ht="22.35" hidden="false" customHeight="false" outlineLevel="0" collapsed="false">
      <c r="A181" s="6" t="n">
        <v>180</v>
      </c>
      <c r="B181" s="12" t="n">
        <v>46451</v>
      </c>
      <c r="C181" s="6" t="n">
        <v>26</v>
      </c>
      <c r="D181" s="6" t="s">
        <v>57</v>
      </c>
      <c r="E181" s="6" t="s">
        <v>1098</v>
      </c>
      <c r="F181" s="6" t="s">
        <v>844</v>
      </c>
      <c r="G181" s="6" t="s">
        <v>551</v>
      </c>
      <c r="H181" s="6" t="s">
        <v>181</v>
      </c>
      <c r="I181" s="6" t="s">
        <v>182</v>
      </c>
      <c r="J181" s="6" t="s">
        <v>1099</v>
      </c>
      <c r="K181" s="6" t="s">
        <v>1100</v>
      </c>
      <c r="L181" s="6" t="s">
        <v>847</v>
      </c>
      <c r="M181" s="6" t="n">
        <v>5</v>
      </c>
      <c r="N181" s="6"/>
      <c r="O181" s="6"/>
    </row>
    <row r="182" customFormat="false" ht="22.35" hidden="false" customHeight="false" outlineLevel="0" collapsed="false">
      <c r="A182" s="6" t="n">
        <v>181</v>
      </c>
      <c r="B182" s="12" t="n">
        <v>46452</v>
      </c>
      <c r="C182" s="6" t="n">
        <v>26</v>
      </c>
      <c r="D182" s="6" t="s">
        <v>57</v>
      </c>
      <c r="E182" s="6" t="s">
        <v>1101</v>
      </c>
      <c r="F182" s="6" t="s">
        <v>1102</v>
      </c>
      <c r="G182" s="6" t="s">
        <v>551</v>
      </c>
      <c r="H182" s="6" t="s">
        <v>181</v>
      </c>
      <c r="I182" s="6" t="s">
        <v>182</v>
      </c>
      <c r="J182" s="6" t="s">
        <v>1103</v>
      </c>
      <c r="K182" s="6" t="s">
        <v>1104</v>
      </c>
      <c r="L182" s="6" t="s">
        <v>1105</v>
      </c>
      <c r="M182" s="6" t="n">
        <v>5</v>
      </c>
      <c r="N182" s="6"/>
      <c r="O182" s="6"/>
    </row>
    <row r="183" customFormat="false" ht="64.15" hidden="false" customHeight="false" outlineLevel="0" collapsed="false">
      <c r="A183" s="4" t="n">
        <v>182</v>
      </c>
      <c r="B183" s="13" t="n">
        <v>46453</v>
      </c>
      <c r="C183" s="4" t="n">
        <v>26</v>
      </c>
      <c r="D183" s="4" t="s">
        <v>57</v>
      </c>
      <c r="E183" s="4" t="s">
        <v>1106</v>
      </c>
      <c r="F183" s="4" t="s">
        <v>201</v>
      </c>
      <c r="G183" s="4" t="s">
        <v>202</v>
      </c>
      <c r="H183" s="4" t="s">
        <v>181</v>
      </c>
      <c r="I183" s="4" t="s">
        <v>182</v>
      </c>
      <c r="J183" s="4" t="s">
        <v>1107</v>
      </c>
      <c r="K183" s="4" t="s">
        <v>201</v>
      </c>
      <c r="L183" s="4" t="s">
        <v>204</v>
      </c>
      <c r="M183" s="4" t="n">
        <v>5</v>
      </c>
      <c r="N183" s="4" t="s">
        <v>71</v>
      </c>
      <c r="O183" s="4"/>
    </row>
    <row r="184" customFormat="false" ht="22.35" hidden="false" customHeight="false" outlineLevel="0" collapsed="false">
      <c r="A184" s="6" t="n">
        <v>183</v>
      </c>
      <c r="B184" s="12" t="n">
        <v>46454</v>
      </c>
      <c r="C184" s="6" t="n">
        <v>27</v>
      </c>
      <c r="D184" s="6" t="s">
        <v>73</v>
      </c>
      <c r="E184" s="6" t="s">
        <v>1108</v>
      </c>
      <c r="F184" s="6" t="s">
        <v>1109</v>
      </c>
      <c r="G184" s="6" t="s">
        <v>1110</v>
      </c>
      <c r="H184" s="6" t="s">
        <v>1111</v>
      </c>
      <c r="I184" s="6" t="s">
        <v>1112</v>
      </c>
      <c r="J184" s="6" t="s">
        <v>1113</v>
      </c>
      <c r="K184" s="6" t="s">
        <v>1114</v>
      </c>
      <c r="L184" s="6" t="s">
        <v>447</v>
      </c>
      <c r="M184" s="6" t="n">
        <v>3</v>
      </c>
      <c r="N184" s="6"/>
      <c r="O184" s="6"/>
    </row>
    <row r="185" customFormat="false" ht="22.35" hidden="false" customHeight="false" outlineLevel="0" collapsed="false">
      <c r="A185" s="6" t="n">
        <v>184</v>
      </c>
      <c r="B185" s="12" t="n">
        <v>46455</v>
      </c>
      <c r="C185" s="6" t="n">
        <v>27</v>
      </c>
      <c r="D185" s="6" t="s">
        <v>73</v>
      </c>
      <c r="E185" s="6" t="s">
        <v>1115</v>
      </c>
      <c r="F185" s="6" t="s">
        <v>1116</v>
      </c>
      <c r="G185" s="6" t="s">
        <v>551</v>
      </c>
      <c r="H185" s="6" t="s">
        <v>181</v>
      </c>
      <c r="I185" s="6" t="s">
        <v>182</v>
      </c>
      <c r="J185" s="6" t="s">
        <v>1117</v>
      </c>
      <c r="K185" s="6" t="s">
        <v>1118</v>
      </c>
      <c r="L185" s="6" t="s">
        <v>216</v>
      </c>
      <c r="M185" s="6" t="n">
        <v>3</v>
      </c>
      <c r="N185" s="6"/>
      <c r="O185" s="6"/>
    </row>
    <row r="186" customFormat="false" ht="22.35" hidden="false" customHeight="false" outlineLevel="0" collapsed="false">
      <c r="A186" s="6" t="n">
        <v>185</v>
      </c>
      <c r="B186" s="12" t="n">
        <v>46456</v>
      </c>
      <c r="C186" s="6" t="n">
        <v>27</v>
      </c>
      <c r="D186" s="6" t="s">
        <v>73</v>
      </c>
      <c r="E186" s="6" t="s">
        <v>1119</v>
      </c>
      <c r="F186" s="6" t="s">
        <v>1120</v>
      </c>
      <c r="G186" s="6" t="s">
        <v>1121</v>
      </c>
      <c r="H186" s="6" t="s">
        <v>1122</v>
      </c>
      <c r="I186" s="6" t="s">
        <v>1123</v>
      </c>
      <c r="J186" s="6" t="s">
        <v>1124</v>
      </c>
      <c r="K186" s="6" t="s">
        <v>1125</v>
      </c>
      <c r="L186" s="6" t="s">
        <v>1126</v>
      </c>
      <c r="M186" s="6" t="n">
        <v>3</v>
      </c>
      <c r="N186" s="6"/>
      <c r="O186" s="6"/>
    </row>
    <row r="187" customFormat="false" ht="22.35" hidden="false" customHeight="false" outlineLevel="0" collapsed="false">
      <c r="A187" s="6" t="n">
        <v>186</v>
      </c>
      <c r="B187" s="12" t="n">
        <v>46457</v>
      </c>
      <c r="C187" s="6" t="n">
        <v>27</v>
      </c>
      <c r="D187" s="6" t="s">
        <v>73</v>
      </c>
      <c r="E187" s="6" t="s">
        <v>1127</v>
      </c>
      <c r="F187" s="6" t="s">
        <v>1128</v>
      </c>
      <c r="G187" s="6" t="s">
        <v>1129</v>
      </c>
      <c r="H187" s="6" t="s">
        <v>1130</v>
      </c>
      <c r="I187" s="6" t="s">
        <v>1131</v>
      </c>
      <c r="J187" s="6" t="s">
        <v>1132</v>
      </c>
      <c r="K187" s="6" t="s">
        <v>1133</v>
      </c>
      <c r="L187" s="6" t="s">
        <v>447</v>
      </c>
      <c r="M187" s="6" t="n">
        <v>3</v>
      </c>
      <c r="N187" s="6"/>
      <c r="O187" s="6"/>
    </row>
    <row r="188" customFormat="false" ht="22.35" hidden="false" customHeight="false" outlineLevel="0" collapsed="false">
      <c r="A188" s="6" t="n">
        <v>187</v>
      </c>
      <c r="B188" s="12" t="n">
        <v>46458</v>
      </c>
      <c r="C188" s="6" t="n">
        <v>27</v>
      </c>
      <c r="D188" s="6" t="s">
        <v>73</v>
      </c>
      <c r="E188" s="6" t="s">
        <v>1134</v>
      </c>
      <c r="F188" s="6" t="s">
        <v>1135</v>
      </c>
      <c r="G188" s="6" t="s">
        <v>1136</v>
      </c>
      <c r="H188" s="6" t="s">
        <v>1137</v>
      </c>
      <c r="I188" s="6" t="s">
        <v>1138</v>
      </c>
      <c r="J188" s="6" t="s">
        <v>1139</v>
      </c>
      <c r="K188" s="6" t="s">
        <v>1140</v>
      </c>
      <c r="L188" s="6" t="s">
        <v>222</v>
      </c>
      <c r="M188" s="6" t="n">
        <v>3</v>
      </c>
      <c r="N188" s="6"/>
      <c r="O188" s="6"/>
    </row>
    <row r="189" customFormat="false" ht="15" hidden="false" customHeight="false" outlineLevel="0" collapsed="false">
      <c r="A189" s="6" t="n">
        <v>188</v>
      </c>
      <c r="B189" s="12" t="n">
        <v>46459</v>
      </c>
      <c r="C189" s="6" t="n">
        <v>27</v>
      </c>
      <c r="D189" s="6" t="s">
        <v>73</v>
      </c>
      <c r="E189" s="6" t="s">
        <v>1141</v>
      </c>
      <c r="F189" s="6" t="s">
        <v>1142</v>
      </c>
      <c r="G189" s="6" t="s">
        <v>1143</v>
      </c>
      <c r="H189" s="6" t="s">
        <v>1144</v>
      </c>
      <c r="I189" s="6" t="s">
        <v>1145</v>
      </c>
      <c r="J189" s="6" t="s">
        <v>1146</v>
      </c>
      <c r="K189" s="6" t="s">
        <v>1147</v>
      </c>
      <c r="L189" s="6" t="s">
        <v>1005</v>
      </c>
      <c r="M189" s="6" t="n">
        <v>3</v>
      </c>
      <c r="N189" s="6"/>
      <c r="O189" s="6"/>
    </row>
    <row r="190" customFormat="false" ht="64.15" hidden="false" customHeight="false" outlineLevel="0" collapsed="false">
      <c r="A190" s="14" t="n">
        <v>189</v>
      </c>
      <c r="B190" s="15" t="n">
        <v>46460</v>
      </c>
      <c r="C190" s="14" t="n">
        <v>27</v>
      </c>
      <c r="D190" s="14" t="s">
        <v>73</v>
      </c>
      <c r="E190" s="14" t="s">
        <v>1148</v>
      </c>
      <c r="F190" s="14" t="s">
        <v>201</v>
      </c>
      <c r="G190" s="14" t="s">
        <v>202</v>
      </c>
      <c r="H190" s="14" t="s">
        <v>181</v>
      </c>
      <c r="I190" s="14" t="s">
        <v>182</v>
      </c>
      <c r="J190" s="14" t="s">
        <v>1149</v>
      </c>
      <c r="K190" s="14" t="s">
        <v>201</v>
      </c>
      <c r="L190" s="14" t="s">
        <v>204</v>
      </c>
      <c r="M190" s="14" t="n">
        <v>3</v>
      </c>
      <c r="N190" s="14"/>
      <c r="O190" s="14"/>
    </row>
    <row r="191" customFormat="false" ht="22.35" hidden="false" customHeight="false" outlineLevel="0" collapsed="false">
      <c r="A191" s="6" t="n">
        <v>190</v>
      </c>
      <c r="B191" s="12" t="n">
        <v>46461</v>
      </c>
      <c r="C191" s="6" t="n">
        <v>28</v>
      </c>
      <c r="D191" s="6" t="s">
        <v>73</v>
      </c>
      <c r="E191" s="6" t="s">
        <v>1150</v>
      </c>
      <c r="F191" s="6" t="s">
        <v>1151</v>
      </c>
      <c r="G191" s="6" t="s">
        <v>1152</v>
      </c>
      <c r="H191" s="6" t="s">
        <v>181</v>
      </c>
      <c r="I191" s="6" t="s">
        <v>182</v>
      </c>
      <c r="J191" s="6" t="s">
        <v>1153</v>
      </c>
      <c r="K191" s="6" t="s">
        <v>1154</v>
      </c>
      <c r="L191" s="6" t="s">
        <v>216</v>
      </c>
      <c r="M191" s="6" t="n">
        <v>3</v>
      </c>
      <c r="N191" s="6"/>
      <c r="O191" s="6"/>
    </row>
    <row r="192" customFormat="false" ht="22.35" hidden="false" customHeight="false" outlineLevel="0" collapsed="false">
      <c r="A192" s="6" t="n">
        <v>191</v>
      </c>
      <c r="B192" s="12" t="n">
        <v>46462</v>
      </c>
      <c r="C192" s="6" t="n">
        <v>28</v>
      </c>
      <c r="D192" s="6" t="s">
        <v>73</v>
      </c>
      <c r="E192" s="6" t="s">
        <v>1155</v>
      </c>
      <c r="F192" s="6" t="s">
        <v>1156</v>
      </c>
      <c r="G192" s="6" t="s">
        <v>1157</v>
      </c>
      <c r="H192" s="6" t="s">
        <v>1158</v>
      </c>
      <c r="I192" s="6" t="s">
        <v>1159</v>
      </c>
      <c r="J192" s="6" t="s">
        <v>1160</v>
      </c>
      <c r="K192" s="6" t="s">
        <v>1161</v>
      </c>
      <c r="L192" s="6" t="s">
        <v>216</v>
      </c>
      <c r="M192" s="6" t="n">
        <v>3</v>
      </c>
      <c r="N192" s="6"/>
      <c r="O192" s="6"/>
    </row>
    <row r="193" customFormat="false" ht="22.35" hidden="false" customHeight="false" outlineLevel="0" collapsed="false">
      <c r="A193" s="6" t="n">
        <v>192</v>
      </c>
      <c r="B193" s="12" t="n">
        <v>46463</v>
      </c>
      <c r="C193" s="6" t="n">
        <v>28</v>
      </c>
      <c r="D193" s="6" t="s">
        <v>73</v>
      </c>
      <c r="E193" s="6" t="s">
        <v>1162</v>
      </c>
      <c r="F193" s="6" t="s">
        <v>1163</v>
      </c>
      <c r="G193" s="6" t="s">
        <v>1164</v>
      </c>
      <c r="H193" s="6" t="s">
        <v>1165</v>
      </c>
      <c r="I193" s="6" t="s">
        <v>1166</v>
      </c>
      <c r="J193" s="6" t="s">
        <v>1167</v>
      </c>
      <c r="K193" s="6" t="s">
        <v>1168</v>
      </c>
      <c r="L193" s="6" t="s">
        <v>222</v>
      </c>
      <c r="M193" s="6" t="n">
        <v>3</v>
      </c>
      <c r="N193" s="6"/>
      <c r="O193" s="6"/>
    </row>
    <row r="194" customFormat="false" ht="22.35" hidden="false" customHeight="false" outlineLevel="0" collapsed="false">
      <c r="A194" s="6" t="n">
        <v>193</v>
      </c>
      <c r="B194" s="12" t="n">
        <v>46464</v>
      </c>
      <c r="C194" s="6" t="n">
        <v>28</v>
      </c>
      <c r="D194" s="6" t="s">
        <v>73</v>
      </c>
      <c r="E194" s="6" t="s">
        <v>1169</v>
      </c>
      <c r="F194" s="6" t="s">
        <v>1170</v>
      </c>
      <c r="G194" s="6" t="s">
        <v>551</v>
      </c>
      <c r="H194" s="6" t="s">
        <v>181</v>
      </c>
      <c r="I194" s="6" t="s">
        <v>182</v>
      </c>
      <c r="J194" s="6" t="s">
        <v>1171</v>
      </c>
      <c r="K194" s="6" t="s">
        <v>1172</v>
      </c>
      <c r="L194" s="6" t="s">
        <v>216</v>
      </c>
      <c r="M194" s="6" t="n">
        <v>3</v>
      </c>
      <c r="N194" s="6"/>
      <c r="O194" s="6"/>
    </row>
    <row r="195" customFormat="false" ht="15" hidden="false" customHeight="false" outlineLevel="0" collapsed="false">
      <c r="A195" s="6" t="n">
        <v>194</v>
      </c>
      <c r="B195" s="12" t="n">
        <v>46465</v>
      </c>
      <c r="C195" s="6" t="n">
        <v>28</v>
      </c>
      <c r="D195" s="6" t="s">
        <v>73</v>
      </c>
      <c r="E195" s="6" t="s">
        <v>1173</v>
      </c>
      <c r="F195" s="6" t="s">
        <v>1174</v>
      </c>
      <c r="G195" s="6" t="s">
        <v>1175</v>
      </c>
      <c r="H195" s="6" t="s">
        <v>1176</v>
      </c>
      <c r="I195" s="6" t="s">
        <v>1177</v>
      </c>
      <c r="J195" s="6" t="s">
        <v>1178</v>
      </c>
      <c r="K195" s="6" t="s">
        <v>1179</v>
      </c>
      <c r="L195" s="6" t="s">
        <v>216</v>
      </c>
      <c r="M195" s="6" t="n">
        <v>3</v>
      </c>
      <c r="N195" s="6"/>
      <c r="O195" s="6"/>
    </row>
    <row r="196" customFormat="false" ht="15" hidden="false" customHeight="false" outlineLevel="0" collapsed="false">
      <c r="A196" s="6" t="n">
        <v>195</v>
      </c>
      <c r="B196" s="12" t="n">
        <v>46466</v>
      </c>
      <c r="C196" s="6" t="n">
        <v>28</v>
      </c>
      <c r="D196" s="6" t="s">
        <v>73</v>
      </c>
      <c r="E196" s="6" t="s">
        <v>1180</v>
      </c>
      <c r="F196" s="6" t="s">
        <v>1181</v>
      </c>
      <c r="G196" s="6" t="s">
        <v>551</v>
      </c>
      <c r="H196" s="6" t="s">
        <v>181</v>
      </c>
      <c r="I196" s="6" t="s">
        <v>182</v>
      </c>
      <c r="J196" s="6" t="s">
        <v>1182</v>
      </c>
      <c r="K196" s="6" t="s">
        <v>1183</v>
      </c>
      <c r="L196" s="6" t="s">
        <v>1184</v>
      </c>
      <c r="M196" s="6" t="n">
        <v>3</v>
      </c>
      <c r="N196" s="6"/>
      <c r="O196" s="6"/>
    </row>
    <row r="197" customFormat="false" ht="64.15" hidden="false" customHeight="false" outlineLevel="0" collapsed="false">
      <c r="A197" s="14" t="n">
        <v>196</v>
      </c>
      <c r="B197" s="15" t="n">
        <v>46467</v>
      </c>
      <c r="C197" s="14" t="n">
        <v>28</v>
      </c>
      <c r="D197" s="14" t="s">
        <v>73</v>
      </c>
      <c r="E197" s="14" t="s">
        <v>1185</v>
      </c>
      <c r="F197" s="14" t="s">
        <v>201</v>
      </c>
      <c r="G197" s="14" t="s">
        <v>202</v>
      </c>
      <c r="H197" s="14" t="s">
        <v>181</v>
      </c>
      <c r="I197" s="14" t="s">
        <v>182</v>
      </c>
      <c r="J197" s="14" t="s">
        <v>1186</v>
      </c>
      <c r="K197" s="14" t="s">
        <v>201</v>
      </c>
      <c r="L197" s="14" t="s">
        <v>204</v>
      </c>
      <c r="M197" s="14" t="n">
        <v>3</v>
      </c>
      <c r="N197" s="14"/>
      <c r="O197" s="14"/>
    </row>
    <row r="198" customFormat="false" ht="22.35" hidden="false" customHeight="false" outlineLevel="0" collapsed="false">
      <c r="A198" s="6" t="n">
        <v>197</v>
      </c>
      <c r="B198" s="12" t="n">
        <v>46468</v>
      </c>
      <c r="C198" s="6" t="n">
        <v>29</v>
      </c>
      <c r="D198" s="6" t="s">
        <v>73</v>
      </c>
      <c r="E198" s="6" t="s">
        <v>1187</v>
      </c>
      <c r="F198" s="6" t="s">
        <v>1188</v>
      </c>
      <c r="G198" s="6" t="s">
        <v>551</v>
      </c>
      <c r="H198" s="6" t="s">
        <v>181</v>
      </c>
      <c r="I198" s="6" t="s">
        <v>182</v>
      </c>
      <c r="J198" s="6" t="s">
        <v>1189</v>
      </c>
      <c r="K198" s="6" t="s">
        <v>1190</v>
      </c>
      <c r="L198" s="6" t="s">
        <v>216</v>
      </c>
      <c r="M198" s="6" t="n">
        <v>4</v>
      </c>
      <c r="N198" s="6"/>
      <c r="O198" s="6"/>
    </row>
    <row r="199" customFormat="false" ht="22.35" hidden="false" customHeight="false" outlineLevel="0" collapsed="false">
      <c r="A199" s="6" t="n">
        <v>198</v>
      </c>
      <c r="B199" s="12" t="n">
        <v>46469</v>
      </c>
      <c r="C199" s="6" t="n">
        <v>29</v>
      </c>
      <c r="D199" s="6" t="s">
        <v>73</v>
      </c>
      <c r="E199" s="6" t="s">
        <v>1191</v>
      </c>
      <c r="F199" s="6" t="s">
        <v>1192</v>
      </c>
      <c r="G199" s="6" t="s">
        <v>1193</v>
      </c>
      <c r="H199" s="6" t="s">
        <v>1194</v>
      </c>
      <c r="I199" s="6" t="s">
        <v>1195</v>
      </c>
      <c r="J199" s="6" t="s">
        <v>1196</v>
      </c>
      <c r="K199" s="6" t="s">
        <v>1197</v>
      </c>
      <c r="L199" s="6" t="s">
        <v>1021</v>
      </c>
      <c r="M199" s="6" t="n">
        <v>4</v>
      </c>
      <c r="N199" s="6"/>
      <c r="O199" s="6"/>
    </row>
    <row r="200" customFormat="false" ht="22.35" hidden="false" customHeight="false" outlineLevel="0" collapsed="false">
      <c r="A200" s="6" t="n">
        <v>199</v>
      </c>
      <c r="B200" s="12" t="n">
        <v>46470</v>
      </c>
      <c r="C200" s="6" t="n">
        <v>29</v>
      </c>
      <c r="D200" s="6" t="s">
        <v>73</v>
      </c>
      <c r="E200" s="6" t="s">
        <v>1198</v>
      </c>
      <c r="F200" s="6" t="s">
        <v>1199</v>
      </c>
      <c r="G200" s="6" t="s">
        <v>1158</v>
      </c>
      <c r="H200" s="6" t="s">
        <v>1158</v>
      </c>
      <c r="I200" s="6" t="s">
        <v>1159</v>
      </c>
      <c r="J200" s="6" t="s">
        <v>1200</v>
      </c>
      <c r="K200" s="6" t="s">
        <v>1201</v>
      </c>
      <c r="L200" s="6" t="s">
        <v>216</v>
      </c>
      <c r="M200" s="6" t="n">
        <v>4</v>
      </c>
      <c r="N200" s="6"/>
      <c r="O200" s="6"/>
    </row>
    <row r="201" customFormat="false" ht="22.35" hidden="false" customHeight="false" outlineLevel="0" collapsed="false">
      <c r="A201" s="6" t="n">
        <v>200</v>
      </c>
      <c r="B201" s="12" t="n">
        <v>46471</v>
      </c>
      <c r="C201" s="6" t="n">
        <v>29</v>
      </c>
      <c r="D201" s="6" t="s">
        <v>73</v>
      </c>
      <c r="E201" s="6" t="s">
        <v>1202</v>
      </c>
      <c r="F201" s="6" t="s">
        <v>1203</v>
      </c>
      <c r="G201" s="6" t="s">
        <v>551</v>
      </c>
      <c r="H201" s="6" t="s">
        <v>181</v>
      </c>
      <c r="I201" s="6" t="s">
        <v>182</v>
      </c>
      <c r="J201" s="6" t="s">
        <v>1204</v>
      </c>
      <c r="K201" s="6" t="s">
        <v>1205</v>
      </c>
      <c r="L201" s="6" t="s">
        <v>216</v>
      </c>
      <c r="M201" s="6" t="n">
        <v>4</v>
      </c>
      <c r="N201" s="6"/>
      <c r="O201" s="6"/>
    </row>
    <row r="202" customFormat="false" ht="22.35" hidden="false" customHeight="false" outlineLevel="0" collapsed="false">
      <c r="A202" s="6" t="n">
        <v>201</v>
      </c>
      <c r="B202" s="12" t="n">
        <v>46472</v>
      </c>
      <c r="C202" s="6" t="n">
        <v>29</v>
      </c>
      <c r="D202" s="6" t="s">
        <v>73</v>
      </c>
      <c r="E202" s="6" t="s">
        <v>1206</v>
      </c>
      <c r="F202" s="6" t="s">
        <v>1207</v>
      </c>
      <c r="G202" s="6" t="s">
        <v>551</v>
      </c>
      <c r="H202" s="6" t="s">
        <v>181</v>
      </c>
      <c r="I202" s="6" t="s">
        <v>182</v>
      </c>
      <c r="J202" s="6" t="s">
        <v>1208</v>
      </c>
      <c r="K202" s="6" t="s">
        <v>1209</v>
      </c>
      <c r="L202" s="6" t="s">
        <v>216</v>
      </c>
      <c r="M202" s="6" t="n">
        <v>4</v>
      </c>
      <c r="N202" s="6"/>
      <c r="O202" s="6"/>
    </row>
    <row r="203" customFormat="false" ht="15" hidden="false" customHeight="false" outlineLevel="0" collapsed="false">
      <c r="A203" s="6" t="n">
        <v>202</v>
      </c>
      <c r="B203" s="12" t="n">
        <v>46473</v>
      </c>
      <c r="C203" s="6" t="n">
        <v>29</v>
      </c>
      <c r="D203" s="6" t="s">
        <v>73</v>
      </c>
      <c r="E203" s="6" t="s">
        <v>1210</v>
      </c>
      <c r="F203" s="6" t="s">
        <v>1211</v>
      </c>
      <c r="G203" s="6" t="s">
        <v>551</v>
      </c>
      <c r="H203" s="6" t="s">
        <v>181</v>
      </c>
      <c r="I203" s="6" t="s">
        <v>182</v>
      </c>
      <c r="J203" s="6" t="s">
        <v>1212</v>
      </c>
      <c r="K203" s="6" t="s">
        <v>1213</v>
      </c>
      <c r="L203" s="6" t="s">
        <v>1214</v>
      </c>
      <c r="M203" s="6" t="n">
        <v>4</v>
      </c>
      <c r="N203" s="6"/>
      <c r="O203" s="6"/>
    </row>
    <row r="204" customFormat="false" ht="74.6" hidden="false" customHeight="false" outlineLevel="0" collapsed="false">
      <c r="A204" s="14" t="n">
        <v>203</v>
      </c>
      <c r="B204" s="15" t="n">
        <v>46474</v>
      </c>
      <c r="C204" s="14" t="n">
        <v>29</v>
      </c>
      <c r="D204" s="14" t="s">
        <v>73</v>
      </c>
      <c r="E204" s="14" t="s">
        <v>1215</v>
      </c>
      <c r="F204" s="14" t="s">
        <v>201</v>
      </c>
      <c r="G204" s="14" t="s">
        <v>202</v>
      </c>
      <c r="H204" s="14" t="s">
        <v>181</v>
      </c>
      <c r="I204" s="14" t="s">
        <v>182</v>
      </c>
      <c r="J204" s="14" t="s">
        <v>1216</v>
      </c>
      <c r="K204" s="14" t="s">
        <v>201</v>
      </c>
      <c r="L204" s="14" t="s">
        <v>204</v>
      </c>
      <c r="M204" s="14" t="n">
        <v>4</v>
      </c>
      <c r="N204" s="14"/>
      <c r="O204" s="14"/>
    </row>
    <row r="205" customFormat="false" ht="22.35" hidden="false" customHeight="false" outlineLevel="0" collapsed="false">
      <c r="A205" s="6" t="n">
        <v>204</v>
      </c>
      <c r="B205" s="12" t="n">
        <v>46475</v>
      </c>
      <c r="C205" s="6" t="n">
        <v>30</v>
      </c>
      <c r="D205" s="6" t="s">
        <v>73</v>
      </c>
      <c r="E205" s="6" t="s">
        <v>1217</v>
      </c>
      <c r="F205" s="6" t="s">
        <v>1218</v>
      </c>
      <c r="G205" s="6" t="s">
        <v>1219</v>
      </c>
      <c r="H205" s="6" t="s">
        <v>1220</v>
      </c>
      <c r="I205" s="6" t="s">
        <v>1221</v>
      </c>
      <c r="J205" s="6" t="s">
        <v>1222</v>
      </c>
      <c r="K205" s="6" t="s">
        <v>1223</v>
      </c>
      <c r="L205" s="6" t="s">
        <v>1224</v>
      </c>
      <c r="M205" s="6" t="n">
        <v>4</v>
      </c>
      <c r="N205" s="6"/>
      <c r="O205" s="6"/>
    </row>
    <row r="206" customFormat="false" ht="15" hidden="false" customHeight="false" outlineLevel="0" collapsed="false">
      <c r="A206" s="6" t="n">
        <v>205</v>
      </c>
      <c r="B206" s="12" t="n">
        <v>46476</v>
      </c>
      <c r="C206" s="6" t="n">
        <v>30</v>
      </c>
      <c r="D206" s="6" t="s">
        <v>73</v>
      </c>
      <c r="E206" s="6" t="s">
        <v>1225</v>
      </c>
      <c r="F206" s="6" t="s">
        <v>1226</v>
      </c>
      <c r="G206" s="6" t="s">
        <v>551</v>
      </c>
      <c r="H206" s="6" t="s">
        <v>181</v>
      </c>
      <c r="I206" s="6" t="s">
        <v>182</v>
      </c>
      <c r="J206" s="6" t="s">
        <v>1227</v>
      </c>
      <c r="K206" s="6" t="s">
        <v>1228</v>
      </c>
      <c r="L206" s="6" t="s">
        <v>216</v>
      </c>
      <c r="M206" s="6" t="n">
        <v>4</v>
      </c>
      <c r="N206" s="6"/>
      <c r="O206" s="6"/>
    </row>
    <row r="207" customFormat="false" ht="22.35" hidden="false" customHeight="false" outlineLevel="0" collapsed="false">
      <c r="A207" s="6" t="n">
        <v>206</v>
      </c>
      <c r="B207" s="12" t="n">
        <v>46477</v>
      </c>
      <c r="C207" s="6" t="n">
        <v>30</v>
      </c>
      <c r="D207" s="6" t="s">
        <v>73</v>
      </c>
      <c r="E207" s="6" t="s">
        <v>1229</v>
      </c>
      <c r="F207" s="6" t="s">
        <v>1230</v>
      </c>
      <c r="G207" s="6" t="s">
        <v>1231</v>
      </c>
      <c r="H207" s="6" t="s">
        <v>1220</v>
      </c>
      <c r="I207" s="6" t="s">
        <v>1221</v>
      </c>
      <c r="J207" s="6" t="s">
        <v>1232</v>
      </c>
      <c r="K207" s="6" t="s">
        <v>1233</v>
      </c>
      <c r="L207" s="6" t="s">
        <v>216</v>
      </c>
      <c r="M207" s="6" t="n">
        <v>4</v>
      </c>
      <c r="N207" s="6"/>
      <c r="O207" s="6"/>
    </row>
    <row r="208" customFormat="false" ht="22.35" hidden="false" customHeight="false" outlineLevel="0" collapsed="false">
      <c r="A208" s="6" t="n">
        <v>207</v>
      </c>
      <c r="B208" s="12" t="n">
        <v>46478</v>
      </c>
      <c r="C208" s="6" t="n">
        <v>30</v>
      </c>
      <c r="D208" s="6" t="s">
        <v>73</v>
      </c>
      <c r="E208" s="6" t="s">
        <v>1234</v>
      </c>
      <c r="F208" s="6" t="s">
        <v>1235</v>
      </c>
      <c r="G208" s="6" t="s">
        <v>551</v>
      </c>
      <c r="H208" s="6" t="s">
        <v>181</v>
      </c>
      <c r="I208" s="6" t="s">
        <v>182</v>
      </c>
      <c r="J208" s="6" t="s">
        <v>1236</v>
      </c>
      <c r="K208" s="6" t="s">
        <v>1237</v>
      </c>
      <c r="L208" s="6" t="s">
        <v>447</v>
      </c>
      <c r="M208" s="6" t="n">
        <v>4</v>
      </c>
      <c r="N208" s="6"/>
      <c r="O208" s="6"/>
    </row>
    <row r="209" customFormat="false" ht="15" hidden="false" customHeight="false" outlineLevel="0" collapsed="false">
      <c r="A209" s="6" t="n">
        <v>208</v>
      </c>
      <c r="B209" s="12" t="n">
        <v>46479</v>
      </c>
      <c r="C209" s="6" t="n">
        <v>30</v>
      </c>
      <c r="D209" s="6" t="s">
        <v>73</v>
      </c>
      <c r="E209" s="6" t="s">
        <v>1238</v>
      </c>
      <c r="F209" s="6" t="s">
        <v>1239</v>
      </c>
      <c r="G209" s="6" t="s">
        <v>551</v>
      </c>
      <c r="H209" s="6" t="s">
        <v>181</v>
      </c>
      <c r="I209" s="6" t="s">
        <v>182</v>
      </c>
      <c r="J209" s="6" t="s">
        <v>1240</v>
      </c>
      <c r="K209" s="6" t="s">
        <v>1241</v>
      </c>
      <c r="L209" s="6" t="s">
        <v>1242</v>
      </c>
      <c r="M209" s="6" t="n">
        <v>4</v>
      </c>
      <c r="N209" s="6"/>
      <c r="O209" s="6"/>
    </row>
    <row r="210" customFormat="false" ht="15" hidden="false" customHeight="false" outlineLevel="0" collapsed="false">
      <c r="A210" s="6" t="n">
        <v>209</v>
      </c>
      <c r="B210" s="12" t="n">
        <v>46480</v>
      </c>
      <c r="C210" s="6" t="n">
        <v>30</v>
      </c>
      <c r="D210" s="6" t="s">
        <v>73</v>
      </c>
      <c r="E210" s="6" t="s">
        <v>1243</v>
      </c>
      <c r="F210" s="6" t="s">
        <v>1244</v>
      </c>
      <c r="G210" s="6" t="s">
        <v>551</v>
      </c>
      <c r="H210" s="6" t="s">
        <v>181</v>
      </c>
      <c r="I210" s="6" t="s">
        <v>182</v>
      </c>
      <c r="J210" s="6" t="s">
        <v>1245</v>
      </c>
      <c r="K210" s="6" t="s">
        <v>1246</v>
      </c>
      <c r="L210" s="6" t="s">
        <v>460</v>
      </c>
      <c r="M210" s="6" t="n">
        <v>4</v>
      </c>
      <c r="N210" s="6"/>
      <c r="O210" s="6"/>
    </row>
    <row r="211" customFormat="false" ht="64.15" hidden="false" customHeight="false" outlineLevel="0" collapsed="false">
      <c r="A211" s="14" t="n">
        <v>210</v>
      </c>
      <c r="B211" s="15" t="n">
        <v>46481</v>
      </c>
      <c r="C211" s="14" t="n">
        <v>30</v>
      </c>
      <c r="D211" s="14" t="s">
        <v>73</v>
      </c>
      <c r="E211" s="14" t="s">
        <v>1247</v>
      </c>
      <c r="F211" s="14" t="s">
        <v>201</v>
      </c>
      <c r="G211" s="14" t="s">
        <v>202</v>
      </c>
      <c r="H211" s="14" t="s">
        <v>181</v>
      </c>
      <c r="I211" s="14" t="s">
        <v>182</v>
      </c>
      <c r="J211" s="14" t="s">
        <v>1248</v>
      </c>
      <c r="K211" s="14" t="s">
        <v>201</v>
      </c>
      <c r="L211" s="14" t="s">
        <v>204</v>
      </c>
      <c r="M211" s="14" t="n">
        <v>4</v>
      </c>
      <c r="N211" s="14"/>
      <c r="O211" s="14"/>
    </row>
    <row r="212" customFormat="false" ht="22.35" hidden="false" customHeight="false" outlineLevel="0" collapsed="false">
      <c r="A212" s="6" t="n">
        <v>211</v>
      </c>
      <c r="B212" s="12" t="n">
        <v>46482</v>
      </c>
      <c r="C212" s="6" t="n">
        <v>31</v>
      </c>
      <c r="D212" s="6" t="s">
        <v>73</v>
      </c>
      <c r="E212" s="6" t="s">
        <v>1249</v>
      </c>
      <c r="F212" s="6" t="s">
        <v>1250</v>
      </c>
      <c r="G212" s="6" t="s">
        <v>551</v>
      </c>
      <c r="H212" s="6" t="s">
        <v>181</v>
      </c>
      <c r="I212" s="6" t="s">
        <v>182</v>
      </c>
      <c r="J212" s="6" t="s">
        <v>1251</v>
      </c>
      <c r="K212" s="6" t="s">
        <v>1252</v>
      </c>
      <c r="L212" s="6" t="s">
        <v>216</v>
      </c>
      <c r="M212" s="6" t="n">
        <v>5</v>
      </c>
      <c r="N212" s="6"/>
      <c r="O212" s="6"/>
    </row>
    <row r="213" customFormat="false" ht="15" hidden="false" customHeight="false" outlineLevel="0" collapsed="false">
      <c r="A213" s="6" t="n">
        <v>212</v>
      </c>
      <c r="B213" s="12" t="n">
        <v>46483</v>
      </c>
      <c r="C213" s="6" t="n">
        <v>31</v>
      </c>
      <c r="D213" s="6" t="s">
        <v>73</v>
      </c>
      <c r="E213" s="6" t="s">
        <v>1253</v>
      </c>
      <c r="F213" s="6" t="s">
        <v>1254</v>
      </c>
      <c r="G213" s="6" t="s">
        <v>551</v>
      </c>
      <c r="H213" s="6" t="s">
        <v>181</v>
      </c>
      <c r="I213" s="6" t="s">
        <v>182</v>
      </c>
      <c r="J213" s="6" t="s">
        <v>1083</v>
      </c>
      <c r="K213" s="6" t="s">
        <v>1255</v>
      </c>
      <c r="L213" s="6" t="s">
        <v>578</v>
      </c>
      <c r="M213" s="6" t="n">
        <v>5</v>
      </c>
      <c r="N213" s="6"/>
      <c r="O213" s="6"/>
    </row>
    <row r="214" customFormat="false" ht="15" hidden="false" customHeight="false" outlineLevel="0" collapsed="false">
      <c r="A214" s="6" t="n">
        <v>213</v>
      </c>
      <c r="B214" s="12" t="n">
        <v>46484</v>
      </c>
      <c r="C214" s="6" t="n">
        <v>31</v>
      </c>
      <c r="D214" s="6" t="s">
        <v>73</v>
      </c>
      <c r="E214" s="6" t="s">
        <v>1256</v>
      </c>
      <c r="F214" s="6" t="s">
        <v>1257</v>
      </c>
      <c r="G214" s="6" t="s">
        <v>551</v>
      </c>
      <c r="H214" s="6" t="s">
        <v>181</v>
      </c>
      <c r="I214" s="6" t="s">
        <v>182</v>
      </c>
      <c r="J214" s="6" t="s">
        <v>1258</v>
      </c>
      <c r="K214" s="6" t="s">
        <v>1259</v>
      </c>
      <c r="L214" s="6" t="s">
        <v>216</v>
      </c>
      <c r="M214" s="6" t="n">
        <v>5</v>
      </c>
      <c r="N214" s="6"/>
      <c r="O214" s="6"/>
    </row>
    <row r="215" customFormat="false" ht="22.35" hidden="false" customHeight="false" outlineLevel="0" collapsed="false">
      <c r="A215" s="6" t="n">
        <v>214</v>
      </c>
      <c r="B215" s="12" t="n">
        <v>46485</v>
      </c>
      <c r="C215" s="6" t="n">
        <v>31</v>
      </c>
      <c r="D215" s="6" t="s">
        <v>73</v>
      </c>
      <c r="E215" s="6" t="s">
        <v>1260</v>
      </c>
      <c r="F215" s="6" t="s">
        <v>1261</v>
      </c>
      <c r="G215" s="6" t="s">
        <v>551</v>
      </c>
      <c r="H215" s="6" t="s">
        <v>181</v>
      </c>
      <c r="I215" s="6" t="s">
        <v>182</v>
      </c>
      <c r="J215" s="6" t="s">
        <v>1262</v>
      </c>
      <c r="K215" s="6" t="s">
        <v>1263</v>
      </c>
      <c r="L215" s="6" t="s">
        <v>447</v>
      </c>
      <c r="M215" s="6" t="n">
        <v>5</v>
      </c>
      <c r="N215" s="6"/>
      <c r="O215" s="6"/>
    </row>
    <row r="216" customFormat="false" ht="22.35" hidden="false" customHeight="false" outlineLevel="0" collapsed="false">
      <c r="A216" s="6" t="n">
        <v>215</v>
      </c>
      <c r="B216" s="12" t="n">
        <v>46486</v>
      </c>
      <c r="C216" s="6" t="n">
        <v>31</v>
      </c>
      <c r="D216" s="6" t="s">
        <v>73</v>
      </c>
      <c r="E216" s="6" t="s">
        <v>1264</v>
      </c>
      <c r="F216" s="6" t="s">
        <v>1265</v>
      </c>
      <c r="G216" s="6" t="s">
        <v>597</v>
      </c>
      <c r="H216" s="6" t="s">
        <v>597</v>
      </c>
      <c r="I216" s="6" t="s">
        <v>598</v>
      </c>
      <c r="J216" s="6" t="s">
        <v>601</v>
      </c>
      <c r="K216" s="6" t="s">
        <v>1266</v>
      </c>
      <c r="L216" s="6" t="s">
        <v>216</v>
      </c>
      <c r="M216" s="6" t="n">
        <v>5</v>
      </c>
      <c r="N216" s="6"/>
      <c r="O216" s="6"/>
    </row>
    <row r="217" customFormat="false" ht="15" hidden="false" customHeight="false" outlineLevel="0" collapsed="false">
      <c r="A217" s="6" t="n">
        <v>216</v>
      </c>
      <c r="B217" s="12" t="n">
        <v>46487</v>
      </c>
      <c r="C217" s="6" t="n">
        <v>31</v>
      </c>
      <c r="D217" s="6" t="s">
        <v>73</v>
      </c>
      <c r="E217" s="6" t="s">
        <v>1267</v>
      </c>
      <c r="F217" s="6" t="s">
        <v>1268</v>
      </c>
      <c r="G217" s="6" t="s">
        <v>551</v>
      </c>
      <c r="H217" s="6" t="s">
        <v>181</v>
      </c>
      <c r="I217" s="6" t="s">
        <v>182</v>
      </c>
      <c r="J217" s="6" t="s">
        <v>1269</v>
      </c>
      <c r="K217" s="6" t="s">
        <v>1270</v>
      </c>
      <c r="L217" s="6" t="s">
        <v>216</v>
      </c>
      <c r="M217" s="6" t="n">
        <v>5</v>
      </c>
      <c r="N217" s="6"/>
      <c r="O217" s="6"/>
    </row>
    <row r="218" customFormat="false" ht="64.15" hidden="false" customHeight="false" outlineLevel="0" collapsed="false">
      <c r="A218" s="14" t="n">
        <v>217</v>
      </c>
      <c r="B218" s="15" t="n">
        <v>46488</v>
      </c>
      <c r="C218" s="14" t="n">
        <v>31</v>
      </c>
      <c r="D218" s="14" t="s">
        <v>73</v>
      </c>
      <c r="E218" s="14" t="s">
        <v>1271</v>
      </c>
      <c r="F218" s="14" t="s">
        <v>201</v>
      </c>
      <c r="G218" s="14" t="s">
        <v>202</v>
      </c>
      <c r="H218" s="14" t="s">
        <v>181</v>
      </c>
      <c r="I218" s="14" t="s">
        <v>182</v>
      </c>
      <c r="J218" s="14" t="s">
        <v>1272</v>
      </c>
      <c r="K218" s="14" t="s">
        <v>201</v>
      </c>
      <c r="L218" s="14" t="s">
        <v>204</v>
      </c>
      <c r="M218" s="14" t="n">
        <v>5</v>
      </c>
      <c r="N218" s="14"/>
      <c r="O218" s="14"/>
    </row>
    <row r="219" customFormat="false" ht="22.35" hidden="false" customHeight="false" outlineLevel="0" collapsed="false">
      <c r="A219" s="6" t="n">
        <v>218</v>
      </c>
      <c r="B219" s="12" t="n">
        <v>46489</v>
      </c>
      <c r="C219" s="6" t="n">
        <v>32</v>
      </c>
      <c r="D219" s="6" t="s">
        <v>73</v>
      </c>
      <c r="E219" s="6" t="s">
        <v>1273</v>
      </c>
      <c r="F219" s="6" t="s">
        <v>1274</v>
      </c>
      <c r="G219" s="6" t="s">
        <v>1275</v>
      </c>
      <c r="H219" s="6" t="s">
        <v>597</v>
      </c>
      <c r="I219" s="6" t="s">
        <v>598</v>
      </c>
      <c r="J219" s="6" t="s">
        <v>1276</v>
      </c>
      <c r="K219" s="6" t="s">
        <v>1277</v>
      </c>
      <c r="L219" s="6" t="s">
        <v>1278</v>
      </c>
      <c r="M219" s="6" t="n">
        <v>5</v>
      </c>
      <c r="N219" s="6"/>
      <c r="O219" s="6"/>
    </row>
    <row r="220" customFormat="false" ht="15" hidden="false" customHeight="false" outlineLevel="0" collapsed="false">
      <c r="A220" s="6" t="n">
        <v>219</v>
      </c>
      <c r="B220" s="12" t="n">
        <v>46490</v>
      </c>
      <c r="C220" s="6" t="n">
        <v>32</v>
      </c>
      <c r="D220" s="6" t="s">
        <v>73</v>
      </c>
      <c r="E220" s="6" t="s">
        <v>1279</v>
      </c>
      <c r="F220" s="6" t="s">
        <v>1280</v>
      </c>
      <c r="G220" s="6" t="s">
        <v>1281</v>
      </c>
      <c r="H220" s="6" t="s">
        <v>1281</v>
      </c>
      <c r="I220" s="6" t="s">
        <v>1282</v>
      </c>
      <c r="J220" s="6" t="s">
        <v>1283</v>
      </c>
      <c r="K220" s="6" t="s">
        <v>1284</v>
      </c>
      <c r="L220" s="6" t="s">
        <v>578</v>
      </c>
      <c r="M220" s="6" t="n">
        <v>5</v>
      </c>
      <c r="N220" s="6"/>
      <c r="O220" s="6"/>
    </row>
    <row r="221" customFormat="false" ht="15" hidden="false" customHeight="false" outlineLevel="0" collapsed="false">
      <c r="A221" s="6" t="n">
        <v>220</v>
      </c>
      <c r="B221" s="12" t="n">
        <v>46491</v>
      </c>
      <c r="C221" s="6" t="n">
        <v>32</v>
      </c>
      <c r="D221" s="6" t="s">
        <v>73</v>
      </c>
      <c r="E221" s="6" t="s">
        <v>1285</v>
      </c>
      <c r="F221" s="6" t="s">
        <v>1286</v>
      </c>
      <c r="G221" s="6" t="s">
        <v>551</v>
      </c>
      <c r="H221" s="6" t="s">
        <v>181</v>
      </c>
      <c r="I221" s="6" t="s">
        <v>182</v>
      </c>
      <c r="J221" s="6" t="s">
        <v>593</v>
      </c>
      <c r="K221" s="6" t="s">
        <v>1287</v>
      </c>
      <c r="L221" s="6" t="s">
        <v>593</v>
      </c>
      <c r="M221" s="6" t="n">
        <v>5</v>
      </c>
      <c r="N221" s="6"/>
      <c r="O221" s="6"/>
    </row>
    <row r="222" customFormat="false" ht="15" hidden="false" customHeight="false" outlineLevel="0" collapsed="false">
      <c r="A222" s="6" t="n">
        <v>221</v>
      </c>
      <c r="B222" s="12" t="n">
        <v>46492</v>
      </c>
      <c r="C222" s="6" t="n">
        <v>32</v>
      </c>
      <c r="D222" s="6" t="s">
        <v>73</v>
      </c>
      <c r="E222" s="6" t="s">
        <v>1288</v>
      </c>
      <c r="F222" s="6" t="s">
        <v>844</v>
      </c>
      <c r="G222" s="6" t="s">
        <v>551</v>
      </c>
      <c r="H222" s="6" t="s">
        <v>181</v>
      </c>
      <c r="I222" s="6" t="s">
        <v>182</v>
      </c>
      <c r="J222" s="6" t="s">
        <v>1099</v>
      </c>
      <c r="K222" s="6" t="s">
        <v>1289</v>
      </c>
      <c r="L222" s="6" t="s">
        <v>847</v>
      </c>
      <c r="M222" s="6" t="n">
        <v>5</v>
      </c>
      <c r="N222" s="6"/>
      <c r="O222" s="6"/>
    </row>
    <row r="223" customFormat="false" ht="22.35" hidden="false" customHeight="false" outlineLevel="0" collapsed="false">
      <c r="A223" s="6" t="n">
        <v>222</v>
      </c>
      <c r="B223" s="12" t="n">
        <v>46493</v>
      </c>
      <c r="C223" s="6" t="n">
        <v>32</v>
      </c>
      <c r="D223" s="6" t="s">
        <v>73</v>
      </c>
      <c r="E223" s="6" t="s">
        <v>1290</v>
      </c>
      <c r="F223" s="6" t="s">
        <v>1291</v>
      </c>
      <c r="G223" s="6" t="s">
        <v>1292</v>
      </c>
      <c r="H223" s="6" t="s">
        <v>1045</v>
      </c>
      <c r="I223" s="6" t="s">
        <v>1046</v>
      </c>
      <c r="J223" s="6" t="s">
        <v>1293</v>
      </c>
      <c r="K223" s="6" t="s">
        <v>1294</v>
      </c>
      <c r="L223" s="6" t="s">
        <v>1295</v>
      </c>
      <c r="M223" s="6" t="n">
        <v>5</v>
      </c>
      <c r="N223" s="6"/>
      <c r="O223" s="6"/>
    </row>
    <row r="224" customFormat="false" ht="22.35" hidden="false" customHeight="false" outlineLevel="0" collapsed="false">
      <c r="A224" s="6" t="n">
        <v>223</v>
      </c>
      <c r="B224" s="12" t="n">
        <v>46494</v>
      </c>
      <c r="C224" s="6" t="n">
        <v>32</v>
      </c>
      <c r="D224" s="6" t="s">
        <v>73</v>
      </c>
      <c r="E224" s="6" t="s">
        <v>1296</v>
      </c>
      <c r="F224" s="6" t="s">
        <v>849</v>
      </c>
      <c r="G224" s="6" t="s">
        <v>551</v>
      </c>
      <c r="H224" s="6" t="s">
        <v>181</v>
      </c>
      <c r="I224" s="6" t="s">
        <v>182</v>
      </c>
      <c r="J224" s="6" t="s">
        <v>1297</v>
      </c>
      <c r="K224" s="6" t="s">
        <v>1298</v>
      </c>
      <c r="L224" s="6" t="s">
        <v>1299</v>
      </c>
      <c r="M224" s="6" t="n">
        <v>5</v>
      </c>
      <c r="N224" s="6"/>
      <c r="O224" s="6"/>
    </row>
    <row r="225" customFormat="false" ht="64.15" hidden="false" customHeight="false" outlineLevel="0" collapsed="false">
      <c r="A225" s="4" t="n">
        <v>224</v>
      </c>
      <c r="B225" s="13" t="n">
        <v>46495</v>
      </c>
      <c r="C225" s="4" t="n">
        <v>32</v>
      </c>
      <c r="D225" s="4" t="s">
        <v>73</v>
      </c>
      <c r="E225" s="4" t="s">
        <v>1300</v>
      </c>
      <c r="F225" s="4" t="s">
        <v>201</v>
      </c>
      <c r="G225" s="4" t="s">
        <v>202</v>
      </c>
      <c r="H225" s="4" t="s">
        <v>181</v>
      </c>
      <c r="I225" s="4" t="s">
        <v>182</v>
      </c>
      <c r="J225" s="4" t="s">
        <v>1301</v>
      </c>
      <c r="K225" s="4" t="s">
        <v>201</v>
      </c>
      <c r="L225" s="4" t="s">
        <v>204</v>
      </c>
      <c r="M225" s="4" t="n">
        <v>5</v>
      </c>
      <c r="N225" s="4" t="s">
        <v>85</v>
      </c>
      <c r="O225" s="4"/>
    </row>
    <row r="226" customFormat="false" ht="15" hidden="false" customHeight="false" outlineLevel="0" collapsed="false">
      <c r="A226" s="6" t="n">
        <v>225</v>
      </c>
      <c r="B226" s="12" t="n">
        <v>46496</v>
      </c>
      <c r="C226" s="6" t="n">
        <v>33</v>
      </c>
      <c r="D226" s="6" t="s">
        <v>87</v>
      </c>
      <c r="E226" s="6" t="s">
        <v>1302</v>
      </c>
      <c r="F226" s="6" t="s">
        <v>1303</v>
      </c>
      <c r="G226" s="6" t="s">
        <v>1304</v>
      </c>
      <c r="H226" s="6" t="s">
        <v>923</v>
      </c>
      <c r="I226" s="6" t="s">
        <v>924</v>
      </c>
      <c r="J226" s="6" t="s">
        <v>1305</v>
      </c>
      <c r="K226" s="6" t="s">
        <v>1306</v>
      </c>
      <c r="L226" s="6" t="s">
        <v>216</v>
      </c>
      <c r="M226" s="6" t="n">
        <v>4</v>
      </c>
      <c r="N226" s="6"/>
      <c r="O226" s="6"/>
    </row>
    <row r="227" customFormat="false" ht="22.35" hidden="false" customHeight="false" outlineLevel="0" collapsed="false">
      <c r="A227" s="6" t="n">
        <v>226</v>
      </c>
      <c r="B227" s="12" t="n">
        <v>46497</v>
      </c>
      <c r="C227" s="6" t="n">
        <v>33</v>
      </c>
      <c r="D227" s="6" t="s">
        <v>87</v>
      </c>
      <c r="E227" s="6" t="s">
        <v>1307</v>
      </c>
      <c r="F227" s="6" t="s">
        <v>1308</v>
      </c>
      <c r="G227" s="6" t="s">
        <v>1309</v>
      </c>
      <c r="H227" s="6" t="s">
        <v>1310</v>
      </c>
      <c r="I227" s="6" t="s">
        <v>1311</v>
      </c>
      <c r="J227" s="6" t="s">
        <v>1312</v>
      </c>
      <c r="K227" s="6" t="s">
        <v>1313</v>
      </c>
      <c r="L227" s="6" t="s">
        <v>222</v>
      </c>
      <c r="M227" s="6" t="n">
        <v>4</v>
      </c>
      <c r="N227" s="6"/>
      <c r="O227" s="6"/>
    </row>
    <row r="228" customFormat="false" ht="15" hidden="false" customHeight="false" outlineLevel="0" collapsed="false">
      <c r="A228" s="6" t="n">
        <v>227</v>
      </c>
      <c r="B228" s="12" t="n">
        <v>46498</v>
      </c>
      <c r="C228" s="6" t="n">
        <v>33</v>
      </c>
      <c r="D228" s="6" t="s">
        <v>87</v>
      </c>
      <c r="E228" s="6" t="s">
        <v>1314</v>
      </c>
      <c r="F228" s="6" t="s">
        <v>1315</v>
      </c>
      <c r="G228" s="6" t="s">
        <v>1316</v>
      </c>
      <c r="H228" s="6" t="s">
        <v>1317</v>
      </c>
      <c r="I228" s="6" t="s">
        <v>1318</v>
      </c>
      <c r="J228" s="6" t="s">
        <v>1319</v>
      </c>
      <c r="K228" s="6" t="s">
        <v>1320</v>
      </c>
      <c r="L228" s="6" t="s">
        <v>216</v>
      </c>
      <c r="M228" s="6" t="n">
        <v>4</v>
      </c>
      <c r="N228" s="6"/>
      <c r="O228" s="6"/>
    </row>
    <row r="229" customFormat="false" ht="22.35" hidden="false" customHeight="false" outlineLevel="0" collapsed="false">
      <c r="A229" s="6" t="n">
        <v>228</v>
      </c>
      <c r="B229" s="12" t="n">
        <v>46499</v>
      </c>
      <c r="C229" s="6" t="n">
        <v>33</v>
      </c>
      <c r="D229" s="6" t="s">
        <v>87</v>
      </c>
      <c r="E229" s="6" t="s">
        <v>1321</v>
      </c>
      <c r="F229" s="6" t="s">
        <v>1322</v>
      </c>
      <c r="G229" s="6" t="s">
        <v>1323</v>
      </c>
      <c r="H229" s="6" t="s">
        <v>1324</v>
      </c>
      <c r="I229" s="6" t="s">
        <v>1325</v>
      </c>
      <c r="J229" s="6" t="s">
        <v>1326</v>
      </c>
      <c r="K229" s="6" t="s">
        <v>1327</v>
      </c>
      <c r="L229" s="6" t="s">
        <v>1328</v>
      </c>
      <c r="M229" s="6" t="n">
        <v>4</v>
      </c>
      <c r="N229" s="6"/>
      <c r="O229" s="6"/>
    </row>
    <row r="230" customFormat="false" ht="22.35" hidden="false" customHeight="false" outlineLevel="0" collapsed="false">
      <c r="A230" s="6" t="n">
        <v>229</v>
      </c>
      <c r="B230" s="12" t="n">
        <v>46500</v>
      </c>
      <c r="C230" s="6" t="n">
        <v>33</v>
      </c>
      <c r="D230" s="6" t="s">
        <v>87</v>
      </c>
      <c r="E230" s="6" t="s">
        <v>1329</v>
      </c>
      <c r="F230" s="6" t="s">
        <v>1330</v>
      </c>
      <c r="G230" s="6" t="s">
        <v>1331</v>
      </c>
      <c r="H230" s="6" t="s">
        <v>1332</v>
      </c>
      <c r="I230" s="6" t="s">
        <v>1333</v>
      </c>
      <c r="J230" s="6" t="s">
        <v>1334</v>
      </c>
      <c r="K230" s="6" t="s">
        <v>1335</v>
      </c>
      <c r="L230" s="6" t="s">
        <v>983</v>
      </c>
      <c r="M230" s="6" t="n">
        <v>4</v>
      </c>
      <c r="N230" s="6"/>
      <c r="O230" s="6"/>
    </row>
    <row r="231" customFormat="false" ht="22.35" hidden="false" customHeight="false" outlineLevel="0" collapsed="false">
      <c r="A231" s="6" t="n">
        <v>230</v>
      </c>
      <c r="B231" s="12" t="n">
        <v>46501</v>
      </c>
      <c r="C231" s="6" t="n">
        <v>33</v>
      </c>
      <c r="D231" s="6" t="s">
        <v>87</v>
      </c>
      <c r="E231" s="6" t="s">
        <v>1336</v>
      </c>
      <c r="F231" s="6" t="s">
        <v>1337</v>
      </c>
      <c r="G231" s="6" t="s">
        <v>551</v>
      </c>
      <c r="H231" s="6" t="s">
        <v>181</v>
      </c>
      <c r="I231" s="6" t="s">
        <v>182</v>
      </c>
      <c r="J231" s="6" t="s">
        <v>1338</v>
      </c>
      <c r="K231" s="6" t="s">
        <v>1339</v>
      </c>
      <c r="L231" s="6" t="s">
        <v>1340</v>
      </c>
      <c r="M231" s="6" t="n">
        <v>4</v>
      </c>
      <c r="N231" s="6"/>
      <c r="O231" s="6"/>
    </row>
    <row r="232" customFormat="false" ht="64.15" hidden="false" customHeight="false" outlineLevel="0" collapsed="false">
      <c r="A232" s="14" t="n">
        <v>231</v>
      </c>
      <c r="B232" s="15" t="n">
        <v>46502</v>
      </c>
      <c r="C232" s="14" t="n">
        <v>33</v>
      </c>
      <c r="D232" s="14" t="s">
        <v>87</v>
      </c>
      <c r="E232" s="14" t="s">
        <v>1341</v>
      </c>
      <c r="F232" s="14" t="s">
        <v>201</v>
      </c>
      <c r="G232" s="14" t="s">
        <v>202</v>
      </c>
      <c r="H232" s="14" t="s">
        <v>181</v>
      </c>
      <c r="I232" s="14" t="s">
        <v>182</v>
      </c>
      <c r="J232" s="14" t="s">
        <v>1342</v>
      </c>
      <c r="K232" s="14" t="s">
        <v>201</v>
      </c>
      <c r="L232" s="14" t="s">
        <v>204</v>
      </c>
      <c r="M232" s="14" t="n">
        <v>4</v>
      </c>
      <c r="N232" s="14"/>
      <c r="O232" s="14"/>
    </row>
    <row r="233" customFormat="false" ht="22.35" hidden="false" customHeight="false" outlineLevel="0" collapsed="false">
      <c r="A233" s="6" t="n">
        <v>232</v>
      </c>
      <c r="B233" s="12" t="n">
        <v>46503</v>
      </c>
      <c r="C233" s="6" t="n">
        <v>34</v>
      </c>
      <c r="D233" s="6" t="s">
        <v>87</v>
      </c>
      <c r="E233" s="6" t="s">
        <v>1343</v>
      </c>
      <c r="F233" s="6" t="s">
        <v>1344</v>
      </c>
      <c r="G233" s="6" t="s">
        <v>1345</v>
      </c>
      <c r="H233" s="6" t="s">
        <v>181</v>
      </c>
      <c r="I233" s="6" t="s">
        <v>182</v>
      </c>
      <c r="J233" s="6" t="s">
        <v>1346</v>
      </c>
      <c r="K233" s="6" t="s">
        <v>1347</v>
      </c>
      <c r="L233" s="6" t="s">
        <v>1348</v>
      </c>
      <c r="M233" s="6" t="n">
        <v>4</v>
      </c>
      <c r="N233" s="6"/>
      <c r="O233" s="6"/>
    </row>
    <row r="234" customFormat="false" ht="15" hidden="false" customHeight="false" outlineLevel="0" collapsed="false">
      <c r="A234" s="6" t="n">
        <v>233</v>
      </c>
      <c r="B234" s="12" t="n">
        <v>46504</v>
      </c>
      <c r="C234" s="6" t="n">
        <v>34</v>
      </c>
      <c r="D234" s="6" t="s">
        <v>87</v>
      </c>
      <c r="E234" s="6" t="s">
        <v>1349</v>
      </c>
      <c r="F234" s="6" t="s">
        <v>1350</v>
      </c>
      <c r="G234" s="6" t="s">
        <v>1351</v>
      </c>
      <c r="H234" s="6" t="s">
        <v>1352</v>
      </c>
      <c r="I234" s="6" t="s">
        <v>1353</v>
      </c>
      <c r="J234" s="6" t="s">
        <v>1354</v>
      </c>
      <c r="K234" s="6" t="s">
        <v>1355</v>
      </c>
      <c r="L234" s="6" t="s">
        <v>1083</v>
      </c>
      <c r="M234" s="6" t="n">
        <v>4</v>
      </c>
      <c r="N234" s="6"/>
      <c r="O234" s="6"/>
    </row>
    <row r="235" customFormat="false" ht="15" hidden="false" customHeight="false" outlineLevel="0" collapsed="false">
      <c r="A235" s="6" t="n">
        <v>234</v>
      </c>
      <c r="B235" s="12" t="n">
        <v>46505</v>
      </c>
      <c r="C235" s="6" t="n">
        <v>34</v>
      </c>
      <c r="D235" s="6" t="s">
        <v>87</v>
      </c>
      <c r="E235" s="6" t="s">
        <v>995</v>
      </c>
      <c r="F235" s="6" t="s">
        <v>1356</v>
      </c>
      <c r="G235" s="6" t="s">
        <v>1357</v>
      </c>
      <c r="H235" s="6" t="s">
        <v>1352</v>
      </c>
      <c r="I235" s="6" t="s">
        <v>1353</v>
      </c>
      <c r="J235" s="6" t="s">
        <v>1358</v>
      </c>
      <c r="K235" s="6" t="s">
        <v>1359</v>
      </c>
      <c r="L235" s="6" t="s">
        <v>1083</v>
      </c>
      <c r="M235" s="6" t="n">
        <v>4</v>
      </c>
      <c r="N235" s="6"/>
      <c r="O235" s="6"/>
    </row>
    <row r="236" customFormat="false" ht="15" hidden="false" customHeight="false" outlineLevel="0" collapsed="false">
      <c r="A236" s="6" t="n">
        <v>235</v>
      </c>
      <c r="B236" s="12" t="n">
        <v>46506</v>
      </c>
      <c r="C236" s="6" t="n">
        <v>34</v>
      </c>
      <c r="D236" s="6" t="s">
        <v>87</v>
      </c>
      <c r="E236" s="6" t="s">
        <v>1360</v>
      </c>
      <c r="F236" s="6" t="s">
        <v>1361</v>
      </c>
      <c r="G236" s="6" t="s">
        <v>551</v>
      </c>
      <c r="H236" s="6" t="s">
        <v>181</v>
      </c>
      <c r="I236" s="6" t="s">
        <v>182</v>
      </c>
      <c r="J236" s="6" t="s">
        <v>1362</v>
      </c>
      <c r="K236" s="6" t="s">
        <v>1363</v>
      </c>
      <c r="L236" s="6" t="s">
        <v>578</v>
      </c>
      <c r="M236" s="6" t="n">
        <v>4</v>
      </c>
      <c r="N236" s="6"/>
      <c r="O236" s="6"/>
    </row>
    <row r="237" customFormat="false" ht="22.35" hidden="false" customHeight="false" outlineLevel="0" collapsed="false">
      <c r="A237" s="6" t="n">
        <v>236</v>
      </c>
      <c r="B237" s="12" t="n">
        <v>46507</v>
      </c>
      <c r="C237" s="6" t="n">
        <v>34</v>
      </c>
      <c r="D237" s="6" t="s">
        <v>87</v>
      </c>
      <c r="E237" s="6" t="s">
        <v>1364</v>
      </c>
      <c r="F237" s="6" t="s">
        <v>1365</v>
      </c>
      <c r="G237" s="6" t="s">
        <v>1366</v>
      </c>
      <c r="H237" s="6" t="s">
        <v>1045</v>
      </c>
      <c r="I237" s="6" t="s">
        <v>1046</v>
      </c>
      <c r="J237" s="6" t="s">
        <v>1367</v>
      </c>
      <c r="K237" s="6" t="s">
        <v>1368</v>
      </c>
      <c r="L237" s="6" t="s">
        <v>1369</v>
      </c>
      <c r="M237" s="6" t="n">
        <v>4</v>
      </c>
      <c r="N237" s="6"/>
      <c r="O237" s="6"/>
    </row>
    <row r="238" customFormat="false" ht="22.35" hidden="false" customHeight="false" outlineLevel="0" collapsed="false">
      <c r="A238" s="6" t="n">
        <v>237</v>
      </c>
      <c r="B238" s="12" t="n">
        <v>46508</v>
      </c>
      <c r="C238" s="6" t="n">
        <v>34</v>
      </c>
      <c r="D238" s="6" t="s">
        <v>87</v>
      </c>
      <c r="E238" s="6" t="s">
        <v>1370</v>
      </c>
      <c r="F238" s="6" t="s">
        <v>182</v>
      </c>
      <c r="G238" s="6" t="s">
        <v>551</v>
      </c>
      <c r="H238" s="6" t="s">
        <v>181</v>
      </c>
      <c r="I238" s="6" t="s">
        <v>182</v>
      </c>
      <c r="J238" s="6" t="s">
        <v>578</v>
      </c>
      <c r="K238" s="6" t="s">
        <v>1371</v>
      </c>
      <c r="L238" s="6" t="s">
        <v>460</v>
      </c>
      <c r="M238" s="6" t="n">
        <v>4</v>
      </c>
      <c r="N238" s="6"/>
      <c r="O238" s="6"/>
    </row>
    <row r="239" customFormat="false" ht="64.15" hidden="false" customHeight="false" outlineLevel="0" collapsed="false">
      <c r="A239" s="14" t="n">
        <v>238</v>
      </c>
      <c r="B239" s="15" t="n">
        <v>46509</v>
      </c>
      <c r="C239" s="14" t="n">
        <v>34</v>
      </c>
      <c r="D239" s="14" t="s">
        <v>87</v>
      </c>
      <c r="E239" s="14" t="s">
        <v>1372</v>
      </c>
      <c r="F239" s="14" t="s">
        <v>201</v>
      </c>
      <c r="G239" s="14" t="s">
        <v>202</v>
      </c>
      <c r="H239" s="14" t="s">
        <v>181</v>
      </c>
      <c r="I239" s="14" t="s">
        <v>182</v>
      </c>
      <c r="J239" s="14" t="s">
        <v>1373</v>
      </c>
      <c r="K239" s="14" t="s">
        <v>201</v>
      </c>
      <c r="L239" s="14" t="s">
        <v>204</v>
      </c>
      <c r="M239" s="14" t="n">
        <v>4</v>
      </c>
      <c r="N239" s="14"/>
      <c r="O239" s="14"/>
    </row>
    <row r="240" customFormat="false" ht="22.35" hidden="false" customHeight="false" outlineLevel="0" collapsed="false">
      <c r="A240" s="6" t="n">
        <v>239</v>
      </c>
      <c r="B240" s="12" t="n">
        <v>46510</v>
      </c>
      <c r="C240" s="6" t="n">
        <v>35</v>
      </c>
      <c r="D240" s="6" t="s">
        <v>87</v>
      </c>
      <c r="E240" s="6" t="s">
        <v>1374</v>
      </c>
      <c r="F240" s="6" t="s">
        <v>1375</v>
      </c>
      <c r="G240" s="6" t="s">
        <v>1376</v>
      </c>
      <c r="H240" s="6" t="s">
        <v>1377</v>
      </c>
      <c r="I240" s="6" t="s">
        <v>1378</v>
      </c>
      <c r="J240" s="6" t="s">
        <v>1379</v>
      </c>
      <c r="K240" s="6" t="s">
        <v>1380</v>
      </c>
      <c r="L240" s="6" t="s">
        <v>983</v>
      </c>
      <c r="M240" s="6" t="n">
        <v>4</v>
      </c>
      <c r="N240" s="6"/>
      <c r="O240" s="6"/>
    </row>
    <row r="241" customFormat="false" ht="22.35" hidden="false" customHeight="false" outlineLevel="0" collapsed="false">
      <c r="A241" s="6" t="n">
        <v>240</v>
      </c>
      <c r="B241" s="12" t="n">
        <v>46511</v>
      </c>
      <c r="C241" s="6" t="n">
        <v>35</v>
      </c>
      <c r="D241" s="6" t="s">
        <v>87</v>
      </c>
      <c r="E241" s="6" t="s">
        <v>1381</v>
      </c>
      <c r="F241" s="6" t="s">
        <v>1382</v>
      </c>
      <c r="G241" s="6" t="s">
        <v>1383</v>
      </c>
      <c r="H241" s="6" t="s">
        <v>1384</v>
      </c>
      <c r="I241" s="6" t="s">
        <v>1385</v>
      </c>
      <c r="J241" s="6" t="s">
        <v>1386</v>
      </c>
      <c r="K241" s="6" t="s">
        <v>1387</v>
      </c>
      <c r="L241" s="6" t="s">
        <v>216</v>
      </c>
      <c r="M241" s="6" t="n">
        <v>4</v>
      </c>
      <c r="N241" s="6"/>
      <c r="O241" s="6"/>
    </row>
    <row r="242" customFormat="false" ht="22.35" hidden="false" customHeight="false" outlineLevel="0" collapsed="false">
      <c r="A242" s="6" t="n">
        <v>241</v>
      </c>
      <c r="B242" s="12" t="n">
        <v>46512</v>
      </c>
      <c r="C242" s="6" t="n">
        <v>35</v>
      </c>
      <c r="D242" s="6" t="s">
        <v>87</v>
      </c>
      <c r="E242" s="6" t="s">
        <v>1388</v>
      </c>
      <c r="F242" s="6" t="s">
        <v>1389</v>
      </c>
      <c r="G242" s="6" t="s">
        <v>1390</v>
      </c>
      <c r="H242" s="6" t="s">
        <v>189</v>
      </c>
      <c r="I242" s="6" t="s">
        <v>190</v>
      </c>
      <c r="J242" s="6" t="s">
        <v>1338</v>
      </c>
      <c r="K242" s="6" t="s">
        <v>1391</v>
      </c>
      <c r="L242" s="6" t="s">
        <v>1392</v>
      </c>
      <c r="M242" s="6" t="n">
        <v>4</v>
      </c>
      <c r="N242" s="6"/>
      <c r="O242" s="6"/>
    </row>
    <row r="243" customFormat="false" ht="22.35" hidden="false" customHeight="false" outlineLevel="0" collapsed="false">
      <c r="A243" s="6" t="n">
        <v>242</v>
      </c>
      <c r="B243" s="12" t="n">
        <v>46513</v>
      </c>
      <c r="C243" s="6" t="n">
        <v>35</v>
      </c>
      <c r="D243" s="6" t="s">
        <v>87</v>
      </c>
      <c r="E243" s="6" t="s">
        <v>1393</v>
      </c>
      <c r="F243" s="6" t="s">
        <v>1394</v>
      </c>
      <c r="G243" s="6" t="s">
        <v>1395</v>
      </c>
      <c r="H243" s="6" t="s">
        <v>1395</v>
      </c>
      <c r="I243" s="6" t="s">
        <v>1396</v>
      </c>
      <c r="J243" s="6" t="s">
        <v>1397</v>
      </c>
      <c r="K243" s="6" t="s">
        <v>1398</v>
      </c>
      <c r="L243" s="6" t="s">
        <v>1399</v>
      </c>
      <c r="M243" s="6" t="n">
        <v>4</v>
      </c>
      <c r="N243" s="6"/>
      <c r="O243" s="6"/>
    </row>
    <row r="244" customFormat="false" ht="22.35" hidden="false" customHeight="false" outlineLevel="0" collapsed="false">
      <c r="A244" s="6" t="n">
        <v>243</v>
      </c>
      <c r="B244" s="12" t="n">
        <v>46514</v>
      </c>
      <c r="C244" s="6" t="n">
        <v>35</v>
      </c>
      <c r="D244" s="6" t="s">
        <v>87</v>
      </c>
      <c r="E244" s="6" t="s">
        <v>1400</v>
      </c>
      <c r="F244" s="6" t="s">
        <v>1401</v>
      </c>
      <c r="G244" s="6" t="s">
        <v>551</v>
      </c>
      <c r="H244" s="6" t="s">
        <v>181</v>
      </c>
      <c r="I244" s="6" t="s">
        <v>182</v>
      </c>
      <c r="J244" s="6" t="s">
        <v>1402</v>
      </c>
      <c r="K244" s="6" t="s">
        <v>1403</v>
      </c>
      <c r="L244" s="6" t="s">
        <v>578</v>
      </c>
      <c r="M244" s="6" t="n">
        <v>4</v>
      </c>
      <c r="N244" s="6"/>
      <c r="O244" s="6"/>
    </row>
    <row r="245" customFormat="false" ht="22.35" hidden="false" customHeight="false" outlineLevel="0" collapsed="false">
      <c r="A245" s="6" t="n">
        <v>244</v>
      </c>
      <c r="B245" s="12" t="n">
        <v>46515</v>
      </c>
      <c r="C245" s="6" t="n">
        <v>35</v>
      </c>
      <c r="D245" s="6" t="s">
        <v>87</v>
      </c>
      <c r="E245" s="6" t="s">
        <v>1404</v>
      </c>
      <c r="F245" s="6" t="s">
        <v>1405</v>
      </c>
      <c r="G245" s="6" t="s">
        <v>1406</v>
      </c>
      <c r="H245" s="6" t="s">
        <v>1406</v>
      </c>
      <c r="I245" s="6" t="s">
        <v>1407</v>
      </c>
      <c r="J245" s="6" t="s">
        <v>1408</v>
      </c>
      <c r="K245" s="6" t="s">
        <v>1409</v>
      </c>
      <c r="L245" s="6" t="s">
        <v>460</v>
      </c>
      <c r="M245" s="6" t="n">
        <v>4</v>
      </c>
      <c r="N245" s="6"/>
      <c r="O245" s="6"/>
    </row>
    <row r="246" customFormat="false" ht="64.15" hidden="false" customHeight="false" outlineLevel="0" collapsed="false">
      <c r="A246" s="14" t="n">
        <v>245</v>
      </c>
      <c r="B246" s="15" t="n">
        <v>46516</v>
      </c>
      <c r="C246" s="14" t="n">
        <v>35</v>
      </c>
      <c r="D246" s="14" t="s">
        <v>87</v>
      </c>
      <c r="E246" s="14" t="s">
        <v>1410</v>
      </c>
      <c r="F246" s="14" t="s">
        <v>201</v>
      </c>
      <c r="G246" s="14" t="s">
        <v>202</v>
      </c>
      <c r="H246" s="14" t="s">
        <v>181</v>
      </c>
      <c r="I246" s="14" t="s">
        <v>182</v>
      </c>
      <c r="J246" s="14" t="s">
        <v>1411</v>
      </c>
      <c r="K246" s="14" t="s">
        <v>201</v>
      </c>
      <c r="L246" s="14" t="s">
        <v>204</v>
      </c>
      <c r="M246" s="14" t="n">
        <v>4</v>
      </c>
      <c r="N246" s="14"/>
      <c r="O246" s="14"/>
    </row>
    <row r="247" customFormat="false" ht="22.35" hidden="false" customHeight="false" outlineLevel="0" collapsed="false">
      <c r="A247" s="6" t="n">
        <v>246</v>
      </c>
      <c r="B247" s="12" t="n">
        <v>46517</v>
      </c>
      <c r="C247" s="6" t="n">
        <v>36</v>
      </c>
      <c r="D247" s="6" t="s">
        <v>94</v>
      </c>
      <c r="E247" s="6" t="s">
        <v>1412</v>
      </c>
      <c r="F247" s="6" t="s">
        <v>1413</v>
      </c>
      <c r="G247" s="6" t="s">
        <v>1414</v>
      </c>
      <c r="H247" s="6" t="s">
        <v>1414</v>
      </c>
      <c r="I247" s="6" t="s">
        <v>1415</v>
      </c>
      <c r="J247" s="6" t="s">
        <v>1416</v>
      </c>
      <c r="K247" s="6" t="s">
        <v>1417</v>
      </c>
      <c r="L247" s="6" t="s">
        <v>222</v>
      </c>
      <c r="M247" s="6" t="n">
        <v>3</v>
      </c>
      <c r="N247" s="6"/>
      <c r="O247" s="6"/>
    </row>
    <row r="248" customFormat="false" ht="22.35" hidden="false" customHeight="false" outlineLevel="0" collapsed="false">
      <c r="A248" s="6" t="n">
        <v>247</v>
      </c>
      <c r="B248" s="12" t="n">
        <v>46518</v>
      </c>
      <c r="C248" s="6" t="n">
        <v>36</v>
      </c>
      <c r="D248" s="6" t="s">
        <v>94</v>
      </c>
      <c r="E248" s="6" t="s">
        <v>1418</v>
      </c>
      <c r="F248" s="6" t="s">
        <v>1419</v>
      </c>
      <c r="G248" s="6" t="s">
        <v>1038</v>
      </c>
      <c r="H248" s="6" t="s">
        <v>1038</v>
      </c>
      <c r="I248" s="6" t="s">
        <v>1039</v>
      </c>
      <c r="J248" s="6" t="s">
        <v>1420</v>
      </c>
      <c r="K248" s="6" t="s">
        <v>1421</v>
      </c>
      <c r="L248" s="6" t="s">
        <v>216</v>
      </c>
      <c r="M248" s="6" t="n">
        <v>3</v>
      </c>
      <c r="N248" s="6"/>
      <c r="O248" s="6"/>
    </row>
    <row r="249" customFormat="false" ht="15" hidden="false" customHeight="false" outlineLevel="0" collapsed="false">
      <c r="A249" s="6" t="n">
        <v>248</v>
      </c>
      <c r="B249" s="12" t="n">
        <v>46519</v>
      </c>
      <c r="C249" s="6" t="n">
        <v>36</v>
      </c>
      <c r="D249" s="6" t="s">
        <v>94</v>
      </c>
      <c r="E249" s="6" t="s">
        <v>1422</v>
      </c>
      <c r="F249" s="6" t="s">
        <v>1423</v>
      </c>
      <c r="G249" s="6" t="s">
        <v>1424</v>
      </c>
      <c r="H249" s="6" t="s">
        <v>1424</v>
      </c>
      <c r="I249" s="6" t="s">
        <v>1425</v>
      </c>
      <c r="J249" s="6" t="s">
        <v>1426</v>
      </c>
      <c r="K249" s="6" t="s">
        <v>1427</v>
      </c>
      <c r="L249" s="6" t="s">
        <v>216</v>
      </c>
      <c r="M249" s="6" t="n">
        <v>3</v>
      </c>
      <c r="N249" s="6"/>
      <c r="O249" s="6"/>
    </row>
    <row r="250" customFormat="false" ht="15" hidden="false" customHeight="false" outlineLevel="0" collapsed="false">
      <c r="A250" s="6" t="n">
        <v>249</v>
      </c>
      <c r="B250" s="12" t="n">
        <v>46520</v>
      </c>
      <c r="C250" s="6" t="n">
        <v>36</v>
      </c>
      <c r="D250" s="6" t="s">
        <v>94</v>
      </c>
      <c r="E250" s="6" t="s">
        <v>1428</v>
      </c>
      <c r="F250" s="6" t="s">
        <v>1429</v>
      </c>
      <c r="G250" s="6" t="s">
        <v>551</v>
      </c>
      <c r="H250" s="6" t="s">
        <v>181</v>
      </c>
      <c r="I250" s="6" t="s">
        <v>182</v>
      </c>
      <c r="J250" s="6" t="s">
        <v>1430</v>
      </c>
      <c r="K250" s="6" t="s">
        <v>1431</v>
      </c>
      <c r="L250" s="6" t="s">
        <v>216</v>
      </c>
      <c r="M250" s="6" t="n">
        <v>3</v>
      </c>
      <c r="N250" s="6"/>
      <c r="O250" s="6"/>
    </row>
    <row r="251" customFormat="false" ht="22.35" hidden="false" customHeight="false" outlineLevel="0" collapsed="false">
      <c r="A251" s="6" t="n">
        <v>250</v>
      </c>
      <c r="B251" s="12" t="n">
        <v>46521</v>
      </c>
      <c r="C251" s="6" t="n">
        <v>36</v>
      </c>
      <c r="D251" s="6" t="s">
        <v>94</v>
      </c>
      <c r="E251" s="6" t="s">
        <v>1432</v>
      </c>
      <c r="F251" s="6" t="s">
        <v>1433</v>
      </c>
      <c r="G251" s="6" t="s">
        <v>551</v>
      </c>
      <c r="H251" s="6" t="s">
        <v>181</v>
      </c>
      <c r="I251" s="6" t="s">
        <v>182</v>
      </c>
      <c r="J251" s="6" t="s">
        <v>1434</v>
      </c>
      <c r="K251" s="6" t="s">
        <v>1435</v>
      </c>
      <c r="L251" s="6" t="s">
        <v>1436</v>
      </c>
      <c r="M251" s="6" t="n">
        <v>3</v>
      </c>
      <c r="N251" s="6"/>
      <c r="O251" s="6"/>
    </row>
    <row r="252" customFormat="false" ht="22.35" hidden="false" customHeight="false" outlineLevel="0" collapsed="false">
      <c r="A252" s="6" t="n">
        <v>251</v>
      </c>
      <c r="B252" s="12" t="n">
        <v>46522</v>
      </c>
      <c r="C252" s="6" t="n">
        <v>36</v>
      </c>
      <c r="D252" s="6" t="s">
        <v>94</v>
      </c>
      <c r="E252" s="6" t="s">
        <v>1437</v>
      </c>
      <c r="F252" s="6" t="s">
        <v>1438</v>
      </c>
      <c r="G252" s="6" t="s">
        <v>1414</v>
      </c>
      <c r="H252" s="6" t="s">
        <v>1414</v>
      </c>
      <c r="I252" s="6" t="s">
        <v>1415</v>
      </c>
      <c r="J252" s="6" t="s">
        <v>1439</v>
      </c>
      <c r="K252" s="6" t="s">
        <v>1440</v>
      </c>
      <c r="L252" s="6" t="s">
        <v>460</v>
      </c>
      <c r="M252" s="6" t="n">
        <v>3</v>
      </c>
      <c r="N252" s="6"/>
      <c r="O252" s="6"/>
    </row>
    <row r="253" customFormat="false" ht="64.15" hidden="false" customHeight="false" outlineLevel="0" collapsed="false">
      <c r="A253" s="14" t="n">
        <v>252</v>
      </c>
      <c r="B253" s="15" t="n">
        <v>46523</v>
      </c>
      <c r="C253" s="14" t="n">
        <v>36</v>
      </c>
      <c r="D253" s="14" t="s">
        <v>94</v>
      </c>
      <c r="E253" s="14" t="s">
        <v>1441</v>
      </c>
      <c r="F253" s="14" t="s">
        <v>201</v>
      </c>
      <c r="G253" s="14" t="s">
        <v>202</v>
      </c>
      <c r="H253" s="14" t="s">
        <v>181</v>
      </c>
      <c r="I253" s="14" t="s">
        <v>182</v>
      </c>
      <c r="J253" s="14" t="s">
        <v>1442</v>
      </c>
      <c r="K253" s="14" t="s">
        <v>201</v>
      </c>
      <c r="L253" s="14" t="s">
        <v>204</v>
      </c>
      <c r="M253" s="14" t="n">
        <v>3</v>
      </c>
      <c r="N253" s="14"/>
      <c r="O253" s="14"/>
    </row>
    <row r="254" customFormat="false" ht="22.35" hidden="false" customHeight="false" outlineLevel="0" collapsed="false">
      <c r="A254" s="6" t="n">
        <v>253</v>
      </c>
      <c r="B254" s="12" t="n">
        <v>46524</v>
      </c>
      <c r="C254" s="6" t="n">
        <v>37</v>
      </c>
      <c r="D254" s="6" t="s">
        <v>94</v>
      </c>
      <c r="E254" s="6" t="s">
        <v>1443</v>
      </c>
      <c r="F254" s="6" t="s">
        <v>1444</v>
      </c>
      <c r="G254" s="6" t="s">
        <v>551</v>
      </c>
      <c r="H254" s="6" t="s">
        <v>181</v>
      </c>
      <c r="I254" s="6" t="s">
        <v>182</v>
      </c>
      <c r="J254" s="6" t="s">
        <v>1445</v>
      </c>
      <c r="K254" s="6" t="s">
        <v>1446</v>
      </c>
      <c r="L254" s="6" t="s">
        <v>222</v>
      </c>
      <c r="M254" s="6" t="n">
        <v>4</v>
      </c>
      <c r="N254" s="6"/>
      <c r="O254" s="6"/>
    </row>
    <row r="255" customFormat="false" ht="22.35" hidden="false" customHeight="false" outlineLevel="0" collapsed="false">
      <c r="A255" s="6" t="n">
        <v>254</v>
      </c>
      <c r="B255" s="12" t="n">
        <v>46525</v>
      </c>
      <c r="C255" s="6" t="n">
        <v>37</v>
      </c>
      <c r="D255" s="6" t="s">
        <v>94</v>
      </c>
      <c r="E255" s="6" t="s">
        <v>1447</v>
      </c>
      <c r="F255" s="6" t="s">
        <v>1448</v>
      </c>
      <c r="G255" s="6" t="s">
        <v>1449</v>
      </c>
      <c r="H255" s="6" t="s">
        <v>1450</v>
      </c>
      <c r="I255" s="6" t="s">
        <v>1451</v>
      </c>
      <c r="J255" s="6" t="s">
        <v>1452</v>
      </c>
      <c r="K255" s="6" t="s">
        <v>1453</v>
      </c>
      <c r="L255" s="6" t="s">
        <v>216</v>
      </c>
      <c r="M255" s="6" t="n">
        <v>4</v>
      </c>
      <c r="N255" s="6"/>
      <c r="O255" s="6"/>
    </row>
    <row r="256" customFormat="false" ht="15" hidden="false" customHeight="false" outlineLevel="0" collapsed="false">
      <c r="A256" s="6" t="n">
        <v>255</v>
      </c>
      <c r="B256" s="12" t="n">
        <v>46526</v>
      </c>
      <c r="C256" s="6" t="n">
        <v>37</v>
      </c>
      <c r="D256" s="6" t="s">
        <v>94</v>
      </c>
      <c r="E256" s="6" t="s">
        <v>1454</v>
      </c>
      <c r="F256" s="6" t="s">
        <v>1455</v>
      </c>
      <c r="G256" s="6" t="s">
        <v>1456</v>
      </c>
      <c r="H256" s="6" t="s">
        <v>1457</v>
      </c>
      <c r="I256" s="6" t="s">
        <v>1458</v>
      </c>
      <c r="J256" s="6" t="s">
        <v>1459</v>
      </c>
      <c r="K256" s="6" t="s">
        <v>1460</v>
      </c>
      <c r="L256" s="6" t="s">
        <v>447</v>
      </c>
      <c r="M256" s="6" t="n">
        <v>4</v>
      </c>
      <c r="N256" s="6"/>
      <c r="O256" s="6"/>
    </row>
    <row r="257" customFormat="false" ht="22.35" hidden="false" customHeight="false" outlineLevel="0" collapsed="false">
      <c r="A257" s="6" t="n">
        <v>256</v>
      </c>
      <c r="B257" s="12" t="n">
        <v>46527</v>
      </c>
      <c r="C257" s="6" t="n">
        <v>37</v>
      </c>
      <c r="D257" s="6" t="s">
        <v>94</v>
      </c>
      <c r="E257" s="6" t="s">
        <v>1461</v>
      </c>
      <c r="F257" s="6" t="s">
        <v>1462</v>
      </c>
      <c r="G257" s="6" t="s">
        <v>1463</v>
      </c>
      <c r="H257" s="6" t="s">
        <v>1414</v>
      </c>
      <c r="I257" s="6" t="s">
        <v>1415</v>
      </c>
      <c r="J257" s="6" t="s">
        <v>1464</v>
      </c>
      <c r="K257" s="6" t="s">
        <v>1465</v>
      </c>
      <c r="L257" s="6" t="s">
        <v>1466</v>
      </c>
      <c r="M257" s="6" t="n">
        <v>4</v>
      </c>
      <c r="N257" s="6"/>
      <c r="O257" s="6"/>
    </row>
    <row r="258" customFormat="false" ht="22.35" hidden="false" customHeight="false" outlineLevel="0" collapsed="false">
      <c r="A258" s="6" t="n">
        <v>257</v>
      </c>
      <c r="B258" s="12" t="n">
        <v>46528</v>
      </c>
      <c r="C258" s="6" t="n">
        <v>37</v>
      </c>
      <c r="D258" s="6" t="s">
        <v>94</v>
      </c>
      <c r="E258" s="6" t="s">
        <v>1467</v>
      </c>
      <c r="F258" s="6" t="s">
        <v>1468</v>
      </c>
      <c r="G258" s="6" t="s">
        <v>551</v>
      </c>
      <c r="H258" s="6" t="s">
        <v>181</v>
      </c>
      <c r="I258" s="6" t="s">
        <v>182</v>
      </c>
      <c r="J258" s="6" t="s">
        <v>1469</v>
      </c>
      <c r="K258" s="6" t="s">
        <v>1470</v>
      </c>
      <c r="L258" s="6" t="s">
        <v>216</v>
      </c>
      <c r="M258" s="6" t="n">
        <v>4</v>
      </c>
      <c r="N258" s="6"/>
      <c r="O258" s="6"/>
    </row>
    <row r="259" customFormat="false" ht="22.35" hidden="false" customHeight="false" outlineLevel="0" collapsed="false">
      <c r="A259" s="6" t="n">
        <v>258</v>
      </c>
      <c r="B259" s="12" t="n">
        <v>46529</v>
      </c>
      <c r="C259" s="6" t="n">
        <v>37</v>
      </c>
      <c r="D259" s="6" t="s">
        <v>94</v>
      </c>
      <c r="E259" s="6" t="s">
        <v>1471</v>
      </c>
      <c r="F259" s="6" t="s">
        <v>1472</v>
      </c>
      <c r="G259" s="6" t="s">
        <v>1473</v>
      </c>
      <c r="H259" s="6" t="s">
        <v>1414</v>
      </c>
      <c r="I259" s="6" t="s">
        <v>1415</v>
      </c>
      <c r="J259" s="6" t="s">
        <v>1474</v>
      </c>
      <c r="K259" s="6" t="s">
        <v>1475</v>
      </c>
      <c r="L259" s="6" t="s">
        <v>1476</v>
      </c>
      <c r="M259" s="6" t="n">
        <v>4</v>
      </c>
      <c r="N259" s="6"/>
      <c r="O259" s="6"/>
    </row>
    <row r="260" customFormat="false" ht="64.15" hidden="false" customHeight="false" outlineLevel="0" collapsed="false">
      <c r="A260" s="14" t="n">
        <v>259</v>
      </c>
      <c r="B260" s="15" t="n">
        <v>46530</v>
      </c>
      <c r="C260" s="14" t="n">
        <v>37</v>
      </c>
      <c r="D260" s="14" t="s">
        <v>94</v>
      </c>
      <c r="E260" s="14" t="s">
        <v>1477</v>
      </c>
      <c r="F260" s="14" t="s">
        <v>201</v>
      </c>
      <c r="G260" s="14" t="s">
        <v>202</v>
      </c>
      <c r="H260" s="14" t="s">
        <v>181</v>
      </c>
      <c r="I260" s="14" t="s">
        <v>182</v>
      </c>
      <c r="J260" s="14" t="s">
        <v>1478</v>
      </c>
      <c r="K260" s="14" t="s">
        <v>201</v>
      </c>
      <c r="L260" s="14" t="s">
        <v>204</v>
      </c>
      <c r="M260" s="14" t="n">
        <v>4</v>
      </c>
      <c r="N260" s="14"/>
      <c r="O260" s="14"/>
    </row>
    <row r="261" customFormat="false" ht="22.35" hidden="false" customHeight="false" outlineLevel="0" collapsed="false">
      <c r="A261" s="6" t="n">
        <v>260</v>
      </c>
      <c r="B261" s="12" t="n">
        <v>46531</v>
      </c>
      <c r="C261" s="6" t="n">
        <v>38</v>
      </c>
      <c r="D261" s="6" t="s">
        <v>94</v>
      </c>
      <c r="E261" s="6" t="s">
        <v>1479</v>
      </c>
      <c r="F261" s="6" t="s">
        <v>1480</v>
      </c>
      <c r="G261" s="6" t="s">
        <v>1481</v>
      </c>
      <c r="H261" s="6" t="s">
        <v>1482</v>
      </c>
      <c r="I261" s="6" t="s">
        <v>1483</v>
      </c>
      <c r="J261" s="6" t="s">
        <v>1484</v>
      </c>
      <c r="K261" s="6" t="s">
        <v>1485</v>
      </c>
      <c r="L261" s="6" t="s">
        <v>1486</v>
      </c>
      <c r="M261" s="6" t="n">
        <v>4</v>
      </c>
      <c r="N261" s="6"/>
      <c r="O261" s="6"/>
    </row>
    <row r="262" customFormat="false" ht="15" hidden="false" customHeight="false" outlineLevel="0" collapsed="false">
      <c r="A262" s="6" t="n">
        <v>261</v>
      </c>
      <c r="B262" s="12" t="n">
        <v>46532</v>
      </c>
      <c r="C262" s="6" t="n">
        <v>38</v>
      </c>
      <c r="D262" s="6" t="s">
        <v>94</v>
      </c>
      <c r="E262" s="6" t="s">
        <v>1487</v>
      </c>
      <c r="F262" s="6" t="s">
        <v>1488</v>
      </c>
      <c r="G262" s="6" t="s">
        <v>1489</v>
      </c>
      <c r="H262" s="6" t="s">
        <v>1487</v>
      </c>
      <c r="I262" s="6" t="s">
        <v>1490</v>
      </c>
      <c r="J262" s="6" t="s">
        <v>1491</v>
      </c>
      <c r="K262" s="6" t="s">
        <v>1492</v>
      </c>
      <c r="L262" s="6" t="s">
        <v>216</v>
      </c>
      <c r="M262" s="6" t="n">
        <v>4</v>
      </c>
      <c r="N262" s="6"/>
      <c r="O262" s="6"/>
    </row>
    <row r="263" customFormat="false" ht="15" hidden="false" customHeight="false" outlineLevel="0" collapsed="false">
      <c r="A263" s="6" t="n">
        <v>262</v>
      </c>
      <c r="B263" s="12" t="n">
        <v>46533</v>
      </c>
      <c r="C263" s="6" t="n">
        <v>38</v>
      </c>
      <c r="D263" s="6" t="s">
        <v>94</v>
      </c>
      <c r="E263" s="6" t="s">
        <v>1493</v>
      </c>
      <c r="F263" s="6" t="s">
        <v>1494</v>
      </c>
      <c r="G263" s="6" t="s">
        <v>1495</v>
      </c>
      <c r="H263" s="6" t="s">
        <v>1496</v>
      </c>
      <c r="I263" s="6" t="s">
        <v>1497</v>
      </c>
      <c r="J263" s="6" t="s">
        <v>1498</v>
      </c>
      <c r="K263" s="6" t="s">
        <v>1499</v>
      </c>
      <c r="L263" s="6" t="s">
        <v>447</v>
      </c>
      <c r="M263" s="6" t="n">
        <v>4</v>
      </c>
      <c r="N263" s="6"/>
      <c r="O263" s="6"/>
    </row>
    <row r="264" customFormat="false" ht="22.35" hidden="false" customHeight="false" outlineLevel="0" collapsed="false">
      <c r="A264" s="6" t="n">
        <v>263</v>
      </c>
      <c r="B264" s="12" t="n">
        <v>46534</v>
      </c>
      <c r="C264" s="6" t="n">
        <v>38</v>
      </c>
      <c r="D264" s="6" t="s">
        <v>94</v>
      </c>
      <c r="E264" s="6" t="s">
        <v>1500</v>
      </c>
      <c r="F264" s="6" t="s">
        <v>1501</v>
      </c>
      <c r="G264" s="6" t="s">
        <v>551</v>
      </c>
      <c r="H264" s="6" t="s">
        <v>181</v>
      </c>
      <c r="I264" s="6" t="s">
        <v>182</v>
      </c>
      <c r="J264" s="6" t="s">
        <v>1502</v>
      </c>
      <c r="K264" s="6" t="s">
        <v>1503</v>
      </c>
      <c r="L264" s="6" t="s">
        <v>1504</v>
      </c>
      <c r="M264" s="6" t="n">
        <v>4</v>
      </c>
      <c r="N264" s="6"/>
      <c r="O264" s="6"/>
    </row>
    <row r="265" customFormat="false" ht="15" hidden="false" customHeight="false" outlineLevel="0" collapsed="false">
      <c r="A265" s="6" t="n">
        <v>264</v>
      </c>
      <c r="B265" s="12" t="n">
        <v>46535</v>
      </c>
      <c r="C265" s="6" t="n">
        <v>38</v>
      </c>
      <c r="D265" s="6" t="s">
        <v>94</v>
      </c>
      <c r="E265" s="6" t="s">
        <v>1505</v>
      </c>
      <c r="F265" s="6" t="s">
        <v>1506</v>
      </c>
      <c r="G265" s="6" t="s">
        <v>1507</v>
      </c>
      <c r="H265" s="6" t="s">
        <v>1508</v>
      </c>
      <c r="I265" s="6" t="s">
        <v>1509</v>
      </c>
      <c r="J265" s="6" t="s">
        <v>1510</v>
      </c>
      <c r="K265" s="6" t="s">
        <v>1511</v>
      </c>
      <c r="L265" s="6" t="s">
        <v>578</v>
      </c>
      <c r="M265" s="6" t="n">
        <v>4</v>
      </c>
      <c r="N265" s="6"/>
      <c r="O265" s="6"/>
    </row>
    <row r="266" customFormat="false" ht="15" hidden="false" customHeight="false" outlineLevel="0" collapsed="false">
      <c r="A266" s="6" t="n">
        <v>265</v>
      </c>
      <c r="B266" s="12" t="n">
        <v>46536</v>
      </c>
      <c r="C266" s="6" t="n">
        <v>38</v>
      </c>
      <c r="D266" s="6" t="s">
        <v>94</v>
      </c>
      <c r="E266" s="6" t="s">
        <v>1512</v>
      </c>
      <c r="F266" s="6" t="s">
        <v>1513</v>
      </c>
      <c r="G266" s="6" t="s">
        <v>551</v>
      </c>
      <c r="H266" s="6" t="s">
        <v>181</v>
      </c>
      <c r="I266" s="6" t="s">
        <v>182</v>
      </c>
      <c r="J266" s="6" t="s">
        <v>1514</v>
      </c>
      <c r="K266" s="6" t="s">
        <v>1515</v>
      </c>
      <c r="L266" s="6" t="s">
        <v>460</v>
      </c>
      <c r="M266" s="6" t="n">
        <v>4</v>
      </c>
      <c r="N266" s="6"/>
      <c r="O266" s="6"/>
    </row>
    <row r="267" customFormat="false" ht="74.6" hidden="false" customHeight="false" outlineLevel="0" collapsed="false">
      <c r="A267" s="14" t="n">
        <v>266</v>
      </c>
      <c r="B267" s="15" t="n">
        <v>46537</v>
      </c>
      <c r="C267" s="14" t="n">
        <v>38</v>
      </c>
      <c r="D267" s="14" t="s">
        <v>94</v>
      </c>
      <c r="E267" s="14" t="s">
        <v>1516</v>
      </c>
      <c r="F267" s="14" t="s">
        <v>201</v>
      </c>
      <c r="G267" s="14" t="s">
        <v>202</v>
      </c>
      <c r="H267" s="14" t="s">
        <v>181</v>
      </c>
      <c r="I267" s="14" t="s">
        <v>182</v>
      </c>
      <c r="J267" s="14" t="s">
        <v>1517</v>
      </c>
      <c r="K267" s="14" t="s">
        <v>201</v>
      </c>
      <c r="L267" s="14" t="s">
        <v>204</v>
      </c>
      <c r="M267" s="14" t="n">
        <v>4</v>
      </c>
      <c r="N267" s="14"/>
      <c r="O267" s="14"/>
    </row>
    <row r="268" customFormat="false" ht="22.35" hidden="false" customHeight="false" outlineLevel="0" collapsed="false">
      <c r="A268" s="6" t="n">
        <v>267</v>
      </c>
      <c r="B268" s="12" t="n">
        <v>46538</v>
      </c>
      <c r="C268" s="6" t="n">
        <v>39</v>
      </c>
      <c r="D268" s="6" t="s">
        <v>94</v>
      </c>
      <c r="E268" s="6" t="s">
        <v>1518</v>
      </c>
      <c r="F268" s="6" t="s">
        <v>1519</v>
      </c>
      <c r="G268" s="6" t="s">
        <v>551</v>
      </c>
      <c r="H268" s="6" t="s">
        <v>181</v>
      </c>
      <c r="I268" s="6" t="s">
        <v>182</v>
      </c>
      <c r="J268" s="6" t="s">
        <v>1520</v>
      </c>
      <c r="K268" s="6" t="s">
        <v>1521</v>
      </c>
      <c r="L268" s="6" t="s">
        <v>216</v>
      </c>
      <c r="M268" s="6" t="n">
        <v>4</v>
      </c>
      <c r="N268" s="6"/>
      <c r="O268" s="6"/>
    </row>
    <row r="269" customFormat="false" ht="22.35" hidden="false" customHeight="false" outlineLevel="0" collapsed="false">
      <c r="A269" s="6" t="n">
        <v>268</v>
      </c>
      <c r="B269" s="12" t="n">
        <v>46539</v>
      </c>
      <c r="C269" s="6" t="n">
        <v>39</v>
      </c>
      <c r="D269" s="6" t="s">
        <v>94</v>
      </c>
      <c r="E269" s="6" t="s">
        <v>1522</v>
      </c>
      <c r="F269" s="6" t="s">
        <v>1523</v>
      </c>
      <c r="G269" s="6" t="s">
        <v>551</v>
      </c>
      <c r="H269" s="6" t="s">
        <v>181</v>
      </c>
      <c r="I269" s="6" t="s">
        <v>182</v>
      </c>
      <c r="J269" s="6" t="s">
        <v>1524</v>
      </c>
      <c r="K269" s="6" t="s">
        <v>1525</v>
      </c>
      <c r="L269" s="6" t="s">
        <v>1276</v>
      </c>
      <c r="M269" s="6" t="n">
        <v>4</v>
      </c>
      <c r="N269" s="6"/>
      <c r="O269" s="6"/>
    </row>
    <row r="270" customFormat="false" ht="15" hidden="false" customHeight="false" outlineLevel="0" collapsed="false">
      <c r="A270" s="6" t="n">
        <v>269</v>
      </c>
      <c r="B270" s="12" t="n">
        <v>46540</v>
      </c>
      <c r="C270" s="6" t="n">
        <v>39</v>
      </c>
      <c r="D270" s="6" t="s">
        <v>94</v>
      </c>
      <c r="E270" s="6" t="s">
        <v>1526</v>
      </c>
      <c r="F270" s="6" t="s">
        <v>1527</v>
      </c>
      <c r="G270" s="6" t="s">
        <v>551</v>
      </c>
      <c r="H270" s="6" t="s">
        <v>181</v>
      </c>
      <c r="I270" s="6" t="s">
        <v>182</v>
      </c>
      <c r="J270" s="6" t="s">
        <v>1528</v>
      </c>
      <c r="K270" s="6" t="s">
        <v>1529</v>
      </c>
      <c r="L270" s="6" t="s">
        <v>1530</v>
      </c>
      <c r="M270" s="6" t="n">
        <v>4</v>
      </c>
      <c r="N270" s="6"/>
      <c r="O270" s="6"/>
    </row>
    <row r="271" customFormat="false" ht="22.35" hidden="false" customHeight="false" outlineLevel="0" collapsed="false">
      <c r="A271" s="6" t="n">
        <v>270</v>
      </c>
      <c r="B271" s="12" t="n">
        <v>46541</v>
      </c>
      <c r="C271" s="6" t="n">
        <v>39</v>
      </c>
      <c r="D271" s="6" t="s">
        <v>94</v>
      </c>
      <c r="E271" s="6" t="s">
        <v>1531</v>
      </c>
      <c r="F271" s="6" t="s">
        <v>1532</v>
      </c>
      <c r="G271" s="6" t="s">
        <v>551</v>
      </c>
      <c r="H271" s="6" t="s">
        <v>181</v>
      </c>
      <c r="I271" s="6" t="s">
        <v>182</v>
      </c>
      <c r="J271" s="6" t="s">
        <v>1533</v>
      </c>
      <c r="K271" s="6" t="s">
        <v>1534</v>
      </c>
      <c r="L271" s="6" t="s">
        <v>1535</v>
      </c>
      <c r="M271" s="6" t="n">
        <v>4</v>
      </c>
      <c r="N271" s="6"/>
      <c r="O271" s="6"/>
    </row>
    <row r="272" customFormat="false" ht="22.35" hidden="false" customHeight="false" outlineLevel="0" collapsed="false">
      <c r="A272" s="6" t="n">
        <v>271</v>
      </c>
      <c r="B272" s="12" t="n">
        <v>46542</v>
      </c>
      <c r="C272" s="6" t="n">
        <v>39</v>
      </c>
      <c r="D272" s="6" t="s">
        <v>94</v>
      </c>
      <c r="E272" s="6" t="s">
        <v>1536</v>
      </c>
      <c r="F272" s="6" t="s">
        <v>1537</v>
      </c>
      <c r="G272" s="6" t="s">
        <v>1406</v>
      </c>
      <c r="H272" s="6" t="s">
        <v>1406</v>
      </c>
      <c r="I272" s="6" t="s">
        <v>1407</v>
      </c>
      <c r="J272" s="6" t="s">
        <v>1251</v>
      </c>
      <c r="K272" s="6" t="s">
        <v>1538</v>
      </c>
      <c r="L272" s="6" t="s">
        <v>216</v>
      </c>
      <c r="M272" s="6" t="n">
        <v>4</v>
      </c>
      <c r="N272" s="6"/>
      <c r="O272" s="6"/>
    </row>
    <row r="273" customFormat="false" ht="22.35" hidden="false" customHeight="false" outlineLevel="0" collapsed="false">
      <c r="A273" s="6" t="n">
        <v>272</v>
      </c>
      <c r="B273" s="12" t="n">
        <v>46543</v>
      </c>
      <c r="C273" s="6" t="n">
        <v>39</v>
      </c>
      <c r="D273" s="6" t="s">
        <v>94</v>
      </c>
      <c r="E273" s="6" t="s">
        <v>1539</v>
      </c>
      <c r="F273" s="6" t="s">
        <v>1540</v>
      </c>
      <c r="G273" s="6" t="s">
        <v>1541</v>
      </c>
      <c r="H273" s="6" t="s">
        <v>1542</v>
      </c>
      <c r="I273" s="6" t="s">
        <v>1543</v>
      </c>
      <c r="J273" s="6" t="s">
        <v>1251</v>
      </c>
      <c r="K273" s="6" t="s">
        <v>1544</v>
      </c>
      <c r="L273" s="6" t="s">
        <v>216</v>
      </c>
      <c r="M273" s="6" t="n">
        <v>4</v>
      </c>
      <c r="N273" s="6"/>
      <c r="O273" s="6"/>
    </row>
    <row r="274" customFormat="false" ht="64.15" hidden="false" customHeight="false" outlineLevel="0" collapsed="false">
      <c r="A274" s="14" t="n">
        <v>273</v>
      </c>
      <c r="B274" s="15" t="n">
        <v>46544</v>
      </c>
      <c r="C274" s="14" t="n">
        <v>39</v>
      </c>
      <c r="D274" s="14" t="s">
        <v>94</v>
      </c>
      <c r="E274" s="14" t="s">
        <v>1545</v>
      </c>
      <c r="F274" s="14" t="s">
        <v>201</v>
      </c>
      <c r="G274" s="14" t="s">
        <v>202</v>
      </c>
      <c r="H274" s="14" t="s">
        <v>181</v>
      </c>
      <c r="I274" s="14" t="s">
        <v>182</v>
      </c>
      <c r="J274" s="14" t="s">
        <v>1546</v>
      </c>
      <c r="K274" s="14" t="s">
        <v>201</v>
      </c>
      <c r="L274" s="14" t="s">
        <v>204</v>
      </c>
      <c r="M274" s="14" t="n">
        <v>4</v>
      </c>
      <c r="N274" s="14"/>
      <c r="O274" s="14"/>
    </row>
    <row r="275" customFormat="false" ht="22.35" hidden="false" customHeight="false" outlineLevel="0" collapsed="false">
      <c r="A275" s="6" t="n">
        <v>274</v>
      </c>
      <c r="B275" s="12" t="n">
        <v>46545</v>
      </c>
      <c r="C275" s="6" t="n">
        <v>40</v>
      </c>
      <c r="D275" s="6" t="s">
        <v>94</v>
      </c>
      <c r="E275" s="6" t="s">
        <v>1547</v>
      </c>
      <c r="F275" s="6" t="s">
        <v>1548</v>
      </c>
      <c r="G275" s="6" t="s">
        <v>551</v>
      </c>
      <c r="H275" s="6" t="s">
        <v>181</v>
      </c>
      <c r="I275" s="6" t="s">
        <v>182</v>
      </c>
      <c r="J275" s="6" t="s">
        <v>1549</v>
      </c>
      <c r="K275" s="6" t="s">
        <v>1550</v>
      </c>
      <c r="L275" s="6" t="s">
        <v>447</v>
      </c>
      <c r="M275" s="6" t="n">
        <v>4</v>
      </c>
      <c r="N275" s="6"/>
      <c r="O275" s="6"/>
    </row>
    <row r="276" customFormat="false" ht="22.35" hidden="false" customHeight="false" outlineLevel="0" collapsed="false">
      <c r="A276" s="6" t="n">
        <v>275</v>
      </c>
      <c r="B276" s="12" t="n">
        <v>46546</v>
      </c>
      <c r="C276" s="6" t="n">
        <v>40</v>
      </c>
      <c r="D276" s="6" t="s">
        <v>94</v>
      </c>
      <c r="E276" s="6" t="s">
        <v>1551</v>
      </c>
      <c r="F276" s="6" t="s">
        <v>1552</v>
      </c>
      <c r="G276" s="6" t="s">
        <v>551</v>
      </c>
      <c r="H276" s="6" t="s">
        <v>181</v>
      </c>
      <c r="I276" s="6" t="s">
        <v>182</v>
      </c>
      <c r="J276" s="6" t="s">
        <v>1083</v>
      </c>
      <c r="K276" s="6" t="s">
        <v>1553</v>
      </c>
      <c r="L276" s="6" t="s">
        <v>447</v>
      </c>
      <c r="M276" s="6" t="n">
        <v>4</v>
      </c>
      <c r="N276" s="6"/>
      <c r="O276" s="6"/>
    </row>
    <row r="277" customFormat="false" ht="15" hidden="false" customHeight="false" outlineLevel="0" collapsed="false">
      <c r="A277" s="6" t="n">
        <v>276</v>
      </c>
      <c r="B277" s="12" t="n">
        <v>46547</v>
      </c>
      <c r="C277" s="6" t="n">
        <v>40</v>
      </c>
      <c r="D277" s="6" t="s">
        <v>94</v>
      </c>
      <c r="E277" s="6" t="s">
        <v>1554</v>
      </c>
      <c r="F277" s="6" t="s">
        <v>1555</v>
      </c>
      <c r="G277" s="6" t="s">
        <v>551</v>
      </c>
      <c r="H277" s="6" t="s">
        <v>181</v>
      </c>
      <c r="I277" s="6" t="s">
        <v>182</v>
      </c>
      <c r="J277" s="6" t="s">
        <v>1556</v>
      </c>
      <c r="K277" s="6" t="s">
        <v>1557</v>
      </c>
      <c r="L277" s="6" t="s">
        <v>447</v>
      </c>
      <c r="M277" s="6" t="n">
        <v>4</v>
      </c>
      <c r="N277" s="6"/>
      <c r="O277" s="6"/>
    </row>
    <row r="278" customFormat="false" ht="15" hidden="false" customHeight="false" outlineLevel="0" collapsed="false">
      <c r="A278" s="6" t="n">
        <v>277</v>
      </c>
      <c r="B278" s="12" t="n">
        <v>46548</v>
      </c>
      <c r="C278" s="6" t="n">
        <v>40</v>
      </c>
      <c r="D278" s="6" t="s">
        <v>94</v>
      </c>
      <c r="E278" s="6" t="s">
        <v>1558</v>
      </c>
      <c r="F278" s="6" t="s">
        <v>1286</v>
      </c>
      <c r="G278" s="6" t="s">
        <v>551</v>
      </c>
      <c r="H278" s="6" t="s">
        <v>181</v>
      </c>
      <c r="I278" s="6" t="s">
        <v>182</v>
      </c>
      <c r="J278" s="6" t="s">
        <v>593</v>
      </c>
      <c r="K278" s="6" t="s">
        <v>1559</v>
      </c>
      <c r="L278" s="6" t="s">
        <v>593</v>
      </c>
      <c r="M278" s="6" t="n">
        <v>4</v>
      </c>
      <c r="N278" s="6"/>
      <c r="O278" s="6"/>
    </row>
    <row r="279" customFormat="false" ht="15" hidden="false" customHeight="false" outlineLevel="0" collapsed="false">
      <c r="A279" s="6" t="n">
        <v>278</v>
      </c>
      <c r="B279" s="12" t="n">
        <v>46549</v>
      </c>
      <c r="C279" s="6" t="n">
        <v>40</v>
      </c>
      <c r="D279" s="6" t="s">
        <v>94</v>
      </c>
      <c r="E279" s="6" t="s">
        <v>1560</v>
      </c>
      <c r="F279" s="6" t="s">
        <v>844</v>
      </c>
      <c r="G279" s="6" t="s">
        <v>551</v>
      </c>
      <c r="H279" s="6" t="s">
        <v>181</v>
      </c>
      <c r="I279" s="6" t="s">
        <v>182</v>
      </c>
      <c r="J279" s="6" t="s">
        <v>1099</v>
      </c>
      <c r="K279" s="6" t="s">
        <v>1561</v>
      </c>
      <c r="L279" s="6" t="s">
        <v>847</v>
      </c>
      <c r="M279" s="6" t="n">
        <v>4</v>
      </c>
      <c r="N279" s="6"/>
      <c r="O279" s="6"/>
    </row>
    <row r="280" customFormat="false" ht="15" hidden="false" customHeight="false" outlineLevel="0" collapsed="false">
      <c r="A280" s="6" t="n">
        <v>279</v>
      </c>
      <c r="B280" s="12" t="n">
        <v>46550</v>
      </c>
      <c r="C280" s="6" t="n">
        <v>40</v>
      </c>
      <c r="D280" s="6" t="s">
        <v>94</v>
      </c>
      <c r="E280" s="6" t="s">
        <v>1562</v>
      </c>
      <c r="F280" s="6" t="s">
        <v>1563</v>
      </c>
      <c r="G280" s="6" t="s">
        <v>551</v>
      </c>
      <c r="H280" s="6" t="s">
        <v>181</v>
      </c>
      <c r="I280" s="6" t="s">
        <v>182</v>
      </c>
      <c r="J280" s="6" t="s">
        <v>1297</v>
      </c>
      <c r="K280" s="6" t="s">
        <v>1564</v>
      </c>
      <c r="L280" s="6" t="s">
        <v>1565</v>
      </c>
      <c r="M280" s="6" t="n">
        <v>4</v>
      </c>
      <c r="N280" s="6"/>
      <c r="O280" s="6"/>
    </row>
    <row r="281" customFormat="false" ht="64.15" hidden="false" customHeight="false" outlineLevel="0" collapsed="false">
      <c r="A281" s="4" t="n">
        <v>280</v>
      </c>
      <c r="B281" s="13" t="n">
        <v>46551</v>
      </c>
      <c r="C281" s="4" t="n">
        <v>40</v>
      </c>
      <c r="D281" s="4" t="s">
        <v>94</v>
      </c>
      <c r="E281" s="4" t="s">
        <v>1566</v>
      </c>
      <c r="F281" s="4" t="s">
        <v>201</v>
      </c>
      <c r="G281" s="4" t="s">
        <v>202</v>
      </c>
      <c r="H281" s="4" t="s">
        <v>181</v>
      </c>
      <c r="I281" s="4" t="s">
        <v>182</v>
      </c>
      <c r="J281" s="4" t="s">
        <v>1567</v>
      </c>
      <c r="K281" s="4" t="s">
        <v>201</v>
      </c>
      <c r="L281" s="4" t="s">
        <v>204</v>
      </c>
      <c r="M281" s="4" t="n">
        <v>4</v>
      </c>
      <c r="N281" s="4" t="s">
        <v>104</v>
      </c>
      <c r="O281" s="4"/>
    </row>
    <row r="282" customFormat="false" ht="22.35" hidden="false" customHeight="false" outlineLevel="0" collapsed="false">
      <c r="A282" s="6" t="n">
        <v>281</v>
      </c>
      <c r="B282" s="12" t="n">
        <v>46552</v>
      </c>
      <c r="C282" s="6" t="n">
        <v>41</v>
      </c>
      <c r="D282" s="6" t="s">
        <v>106</v>
      </c>
      <c r="E282" s="6" t="s">
        <v>1568</v>
      </c>
      <c r="F282" s="6" t="s">
        <v>1569</v>
      </c>
      <c r="G282" s="6" t="s">
        <v>1570</v>
      </c>
      <c r="H282" s="6" t="s">
        <v>1384</v>
      </c>
      <c r="I282" s="6" t="s">
        <v>1385</v>
      </c>
      <c r="J282" s="6" t="s">
        <v>1571</v>
      </c>
      <c r="K282" s="6" t="s">
        <v>1572</v>
      </c>
      <c r="L282" s="6" t="s">
        <v>222</v>
      </c>
      <c r="M282" s="6" t="n">
        <v>4</v>
      </c>
      <c r="N282" s="6"/>
      <c r="O282" s="6"/>
    </row>
    <row r="283" customFormat="false" ht="22.35" hidden="false" customHeight="false" outlineLevel="0" collapsed="false">
      <c r="A283" s="6" t="n">
        <v>282</v>
      </c>
      <c r="B283" s="12" t="n">
        <v>46553</v>
      </c>
      <c r="C283" s="6" t="n">
        <v>41</v>
      </c>
      <c r="D283" s="6" t="s">
        <v>106</v>
      </c>
      <c r="E283" s="6" t="s">
        <v>1573</v>
      </c>
      <c r="F283" s="6" t="s">
        <v>1574</v>
      </c>
      <c r="G283" s="6" t="s">
        <v>1575</v>
      </c>
      <c r="H283" s="6" t="s">
        <v>1573</v>
      </c>
      <c r="I283" s="6" t="s">
        <v>1576</v>
      </c>
      <c r="J283" s="6" t="s">
        <v>1577</v>
      </c>
      <c r="K283" s="6" t="s">
        <v>1578</v>
      </c>
      <c r="L283" s="6" t="s">
        <v>222</v>
      </c>
      <c r="M283" s="6" t="n">
        <v>4</v>
      </c>
      <c r="N283" s="6"/>
      <c r="O283" s="6"/>
    </row>
    <row r="284" customFormat="false" ht="22.35" hidden="false" customHeight="false" outlineLevel="0" collapsed="false">
      <c r="A284" s="6" t="n">
        <v>283</v>
      </c>
      <c r="B284" s="12" t="n">
        <v>46554</v>
      </c>
      <c r="C284" s="6" t="n">
        <v>41</v>
      </c>
      <c r="D284" s="6" t="s">
        <v>106</v>
      </c>
      <c r="E284" s="6" t="s">
        <v>1579</v>
      </c>
      <c r="F284" s="6" t="s">
        <v>1580</v>
      </c>
      <c r="G284" s="6" t="s">
        <v>1581</v>
      </c>
      <c r="H284" s="6" t="s">
        <v>1582</v>
      </c>
      <c r="I284" s="6" t="s">
        <v>1583</v>
      </c>
      <c r="J284" s="6" t="s">
        <v>1584</v>
      </c>
      <c r="K284" s="6" t="s">
        <v>1585</v>
      </c>
      <c r="L284" s="6" t="s">
        <v>1586</v>
      </c>
      <c r="M284" s="6" t="n">
        <v>4</v>
      </c>
      <c r="N284" s="6"/>
      <c r="O284" s="6"/>
    </row>
    <row r="285" customFormat="false" ht="22.35" hidden="false" customHeight="false" outlineLevel="0" collapsed="false">
      <c r="A285" s="6" t="n">
        <v>284</v>
      </c>
      <c r="B285" s="12" t="n">
        <v>46555</v>
      </c>
      <c r="C285" s="6" t="n">
        <v>41</v>
      </c>
      <c r="D285" s="6" t="s">
        <v>106</v>
      </c>
      <c r="E285" s="6" t="s">
        <v>1587</v>
      </c>
      <c r="F285" s="6" t="s">
        <v>1588</v>
      </c>
      <c r="G285" s="6" t="s">
        <v>1589</v>
      </c>
      <c r="H285" s="6" t="s">
        <v>1590</v>
      </c>
      <c r="I285" s="6" t="s">
        <v>1591</v>
      </c>
      <c r="J285" s="6" t="s">
        <v>1592</v>
      </c>
      <c r="K285" s="6" t="s">
        <v>1593</v>
      </c>
      <c r="L285" s="6" t="s">
        <v>829</v>
      </c>
      <c r="M285" s="6" t="n">
        <v>4</v>
      </c>
      <c r="N285" s="6"/>
      <c r="O285" s="6"/>
    </row>
    <row r="286" customFormat="false" ht="22.35" hidden="false" customHeight="false" outlineLevel="0" collapsed="false">
      <c r="A286" s="6" t="n">
        <v>285</v>
      </c>
      <c r="B286" s="12" t="n">
        <v>46556</v>
      </c>
      <c r="C286" s="6" t="n">
        <v>41</v>
      </c>
      <c r="D286" s="6" t="s">
        <v>106</v>
      </c>
      <c r="E286" s="6" t="s">
        <v>1594</v>
      </c>
      <c r="F286" s="6" t="s">
        <v>1595</v>
      </c>
      <c r="G286" s="6" t="s">
        <v>1596</v>
      </c>
      <c r="H286" s="6" t="s">
        <v>1597</v>
      </c>
      <c r="I286" s="6" t="s">
        <v>1598</v>
      </c>
      <c r="J286" s="6" t="s">
        <v>1599</v>
      </c>
      <c r="K286" s="6" t="s">
        <v>1600</v>
      </c>
      <c r="L286" s="6" t="s">
        <v>216</v>
      </c>
      <c r="M286" s="6" t="n">
        <v>4</v>
      </c>
      <c r="N286" s="6"/>
      <c r="O286" s="6"/>
    </row>
    <row r="287" customFormat="false" ht="22.35" hidden="false" customHeight="false" outlineLevel="0" collapsed="false">
      <c r="A287" s="6" t="n">
        <v>286</v>
      </c>
      <c r="B287" s="12" t="n">
        <v>46557</v>
      </c>
      <c r="C287" s="6" t="n">
        <v>41</v>
      </c>
      <c r="D287" s="6" t="s">
        <v>106</v>
      </c>
      <c r="E287" s="6" t="s">
        <v>1601</v>
      </c>
      <c r="F287" s="6" t="s">
        <v>1602</v>
      </c>
      <c r="G287" s="6" t="s">
        <v>1603</v>
      </c>
      <c r="H287" s="6" t="s">
        <v>1604</v>
      </c>
      <c r="I287" s="6" t="s">
        <v>1605</v>
      </c>
      <c r="J287" s="6" t="s">
        <v>1606</v>
      </c>
      <c r="K287" s="6" t="s">
        <v>1607</v>
      </c>
      <c r="L287" s="6" t="s">
        <v>460</v>
      </c>
      <c r="M287" s="6" t="n">
        <v>4</v>
      </c>
      <c r="N287" s="6"/>
      <c r="O287" s="6"/>
    </row>
    <row r="288" customFormat="false" ht="64.15" hidden="false" customHeight="false" outlineLevel="0" collapsed="false">
      <c r="A288" s="14" t="n">
        <v>287</v>
      </c>
      <c r="B288" s="15" t="n">
        <v>46558</v>
      </c>
      <c r="C288" s="14" t="n">
        <v>41</v>
      </c>
      <c r="D288" s="14" t="s">
        <v>106</v>
      </c>
      <c r="E288" s="14" t="s">
        <v>1608</v>
      </c>
      <c r="F288" s="14" t="s">
        <v>201</v>
      </c>
      <c r="G288" s="14" t="s">
        <v>202</v>
      </c>
      <c r="H288" s="14" t="s">
        <v>181</v>
      </c>
      <c r="I288" s="14" t="s">
        <v>182</v>
      </c>
      <c r="J288" s="14" t="s">
        <v>1609</v>
      </c>
      <c r="K288" s="14" t="s">
        <v>201</v>
      </c>
      <c r="L288" s="14" t="s">
        <v>204</v>
      </c>
      <c r="M288" s="14" t="n">
        <v>4</v>
      </c>
      <c r="N288" s="14"/>
      <c r="O288" s="14"/>
    </row>
    <row r="289" customFormat="false" ht="22.35" hidden="false" customHeight="false" outlineLevel="0" collapsed="false">
      <c r="A289" s="6" t="n">
        <v>288</v>
      </c>
      <c r="B289" s="12" t="n">
        <v>46559</v>
      </c>
      <c r="C289" s="6" t="n">
        <v>42</v>
      </c>
      <c r="D289" s="6" t="s">
        <v>106</v>
      </c>
      <c r="E289" s="6" t="s">
        <v>1610</v>
      </c>
      <c r="F289" s="6" t="s">
        <v>1611</v>
      </c>
      <c r="G289" s="6" t="s">
        <v>1612</v>
      </c>
      <c r="H289" s="6" t="s">
        <v>807</v>
      </c>
      <c r="I289" s="6" t="s">
        <v>808</v>
      </c>
      <c r="J289" s="6" t="s">
        <v>1613</v>
      </c>
      <c r="K289" s="6" t="s">
        <v>1614</v>
      </c>
      <c r="L289" s="6" t="s">
        <v>216</v>
      </c>
      <c r="M289" s="6" t="n">
        <v>4</v>
      </c>
      <c r="N289" s="6"/>
      <c r="O289" s="6"/>
    </row>
    <row r="290" customFormat="false" ht="22.35" hidden="false" customHeight="false" outlineLevel="0" collapsed="false">
      <c r="A290" s="6" t="n">
        <v>289</v>
      </c>
      <c r="B290" s="12" t="n">
        <v>46560</v>
      </c>
      <c r="C290" s="6" t="n">
        <v>42</v>
      </c>
      <c r="D290" s="6" t="s">
        <v>106</v>
      </c>
      <c r="E290" s="6" t="s">
        <v>1615</v>
      </c>
      <c r="F290" s="6" t="s">
        <v>1616</v>
      </c>
      <c r="G290" s="6" t="s">
        <v>1617</v>
      </c>
      <c r="H290" s="6" t="s">
        <v>1618</v>
      </c>
      <c r="I290" s="6" t="s">
        <v>1619</v>
      </c>
      <c r="J290" s="6" t="s">
        <v>1620</v>
      </c>
      <c r="K290" s="6" t="s">
        <v>1621</v>
      </c>
      <c r="L290" s="6" t="s">
        <v>447</v>
      </c>
      <c r="M290" s="6" t="n">
        <v>4</v>
      </c>
      <c r="N290" s="6"/>
      <c r="O290" s="6"/>
    </row>
    <row r="291" customFormat="false" ht="22.35" hidden="false" customHeight="false" outlineLevel="0" collapsed="false">
      <c r="A291" s="6" t="n">
        <v>290</v>
      </c>
      <c r="B291" s="12" t="n">
        <v>46561</v>
      </c>
      <c r="C291" s="6" t="n">
        <v>42</v>
      </c>
      <c r="D291" s="6" t="s">
        <v>106</v>
      </c>
      <c r="E291" s="6" t="s">
        <v>1622</v>
      </c>
      <c r="F291" s="6" t="s">
        <v>1623</v>
      </c>
      <c r="G291" s="6" t="s">
        <v>1618</v>
      </c>
      <c r="H291" s="6" t="s">
        <v>1618</v>
      </c>
      <c r="I291" s="6" t="s">
        <v>1619</v>
      </c>
      <c r="J291" s="6" t="s">
        <v>1624</v>
      </c>
      <c r="K291" s="6" t="s">
        <v>1625</v>
      </c>
      <c r="L291" s="6" t="s">
        <v>1626</v>
      </c>
      <c r="M291" s="6" t="n">
        <v>4</v>
      </c>
      <c r="N291" s="6"/>
      <c r="O291" s="6"/>
    </row>
    <row r="292" customFormat="false" ht="22.35" hidden="false" customHeight="false" outlineLevel="0" collapsed="false">
      <c r="A292" s="6" t="n">
        <v>291</v>
      </c>
      <c r="B292" s="12" t="n">
        <v>46562</v>
      </c>
      <c r="C292" s="6" t="n">
        <v>42</v>
      </c>
      <c r="D292" s="6" t="s">
        <v>106</v>
      </c>
      <c r="E292" s="6" t="s">
        <v>1627</v>
      </c>
      <c r="F292" s="6" t="s">
        <v>1628</v>
      </c>
      <c r="G292" s="6" t="s">
        <v>1406</v>
      </c>
      <c r="H292" s="6" t="s">
        <v>1406</v>
      </c>
      <c r="I292" s="6" t="s">
        <v>1407</v>
      </c>
      <c r="J292" s="6" t="s">
        <v>1629</v>
      </c>
      <c r="K292" s="6" t="s">
        <v>1630</v>
      </c>
      <c r="L292" s="6" t="s">
        <v>447</v>
      </c>
      <c r="M292" s="6" t="n">
        <v>4</v>
      </c>
      <c r="N292" s="6"/>
      <c r="O292" s="6"/>
    </row>
    <row r="293" customFormat="false" ht="22.35" hidden="false" customHeight="false" outlineLevel="0" collapsed="false">
      <c r="A293" s="6" t="n">
        <v>292</v>
      </c>
      <c r="B293" s="12" t="n">
        <v>46563</v>
      </c>
      <c r="C293" s="6" t="n">
        <v>42</v>
      </c>
      <c r="D293" s="6" t="s">
        <v>106</v>
      </c>
      <c r="E293" s="6" t="s">
        <v>1631</v>
      </c>
      <c r="F293" s="6" t="s">
        <v>1632</v>
      </c>
      <c r="G293" s="6" t="s">
        <v>1633</v>
      </c>
      <c r="H293" s="6" t="s">
        <v>1634</v>
      </c>
      <c r="I293" s="6" t="s">
        <v>1635</v>
      </c>
      <c r="J293" s="6" t="s">
        <v>1636</v>
      </c>
      <c r="K293" s="6" t="s">
        <v>1637</v>
      </c>
      <c r="L293" s="6" t="s">
        <v>216</v>
      </c>
      <c r="M293" s="6" t="n">
        <v>4</v>
      </c>
      <c r="N293" s="6"/>
      <c r="O293" s="6"/>
    </row>
    <row r="294" customFormat="false" ht="22.35" hidden="false" customHeight="false" outlineLevel="0" collapsed="false">
      <c r="A294" s="6" t="n">
        <v>293</v>
      </c>
      <c r="B294" s="12" t="n">
        <v>46564</v>
      </c>
      <c r="C294" s="6" t="n">
        <v>42</v>
      </c>
      <c r="D294" s="6" t="s">
        <v>106</v>
      </c>
      <c r="E294" s="6" t="s">
        <v>1638</v>
      </c>
      <c r="F294" s="6" t="s">
        <v>1639</v>
      </c>
      <c r="G294" s="6" t="s">
        <v>551</v>
      </c>
      <c r="H294" s="6" t="s">
        <v>181</v>
      </c>
      <c r="I294" s="6" t="s">
        <v>182</v>
      </c>
      <c r="J294" s="6" t="s">
        <v>1640</v>
      </c>
      <c r="K294" s="6" t="s">
        <v>1641</v>
      </c>
      <c r="L294" s="6" t="s">
        <v>1642</v>
      </c>
      <c r="M294" s="6" t="n">
        <v>4</v>
      </c>
      <c r="N294" s="6"/>
      <c r="O294" s="6"/>
    </row>
    <row r="295" customFormat="false" ht="64.15" hidden="false" customHeight="false" outlineLevel="0" collapsed="false">
      <c r="A295" s="14" t="n">
        <v>294</v>
      </c>
      <c r="B295" s="15" t="n">
        <v>46565</v>
      </c>
      <c r="C295" s="14" t="n">
        <v>42</v>
      </c>
      <c r="D295" s="14" t="s">
        <v>106</v>
      </c>
      <c r="E295" s="14" t="s">
        <v>1643</v>
      </c>
      <c r="F295" s="14" t="s">
        <v>201</v>
      </c>
      <c r="G295" s="14" t="s">
        <v>202</v>
      </c>
      <c r="H295" s="14" t="s">
        <v>181</v>
      </c>
      <c r="I295" s="14" t="s">
        <v>182</v>
      </c>
      <c r="J295" s="14" t="s">
        <v>1644</v>
      </c>
      <c r="K295" s="14" t="s">
        <v>201</v>
      </c>
      <c r="L295" s="14" t="s">
        <v>204</v>
      </c>
      <c r="M295" s="14" t="n">
        <v>4</v>
      </c>
      <c r="N295" s="14"/>
      <c r="O295" s="14"/>
    </row>
    <row r="296" customFormat="false" ht="22.35" hidden="false" customHeight="false" outlineLevel="0" collapsed="false">
      <c r="A296" s="6" t="n">
        <v>295</v>
      </c>
      <c r="B296" s="12" t="n">
        <v>46566</v>
      </c>
      <c r="C296" s="6" t="n">
        <v>43</v>
      </c>
      <c r="D296" s="6" t="s">
        <v>111</v>
      </c>
      <c r="E296" s="6" t="s">
        <v>1645</v>
      </c>
      <c r="F296" s="6" t="s">
        <v>1646</v>
      </c>
      <c r="G296" s="6" t="s">
        <v>1647</v>
      </c>
      <c r="H296" s="6" t="s">
        <v>1648</v>
      </c>
      <c r="I296" s="6" t="s">
        <v>1649</v>
      </c>
      <c r="J296" s="6" t="s">
        <v>1650</v>
      </c>
      <c r="K296" s="6" t="s">
        <v>1651</v>
      </c>
      <c r="L296" s="6" t="s">
        <v>216</v>
      </c>
      <c r="M296" s="6" t="n">
        <v>3</v>
      </c>
      <c r="N296" s="6"/>
      <c r="O296" s="6"/>
    </row>
    <row r="297" customFormat="false" ht="22.35" hidden="false" customHeight="false" outlineLevel="0" collapsed="false">
      <c r="A297" s="6" t="n">
        <v>296</v>
      </c>
      <c r="B297" s="12" t="n">
        <v>46567</v>
      </c>
      <c r="C297" s="6" t="n">
        <v>43</v>
      </c>
      <c r="D297" s="6" t="s">
        <v>111</v>
      </c>
      <c r="E297" s="6" t="s">
        <v>1652</v>
      </c>
      <c r="F297" s="6" t="s">
        <v>1653</v>
      </c>
      <c r="G297" s="6" t="s">
        <v>1654</v>
      </c>
      <c r="H297" s="6" t="s">
        <v>1652</v>
      </c>
      <c r="I297" s="6" t="s">
        <v>1655</v>
      </c>
      <c r="J297" s="6" t="s">
        <v>1656</v>
      </c>
      <c r="K297" s="6" t="s">
        <v>1657</v>
      </c>
      <c r="L297" s="6" t="s">
        <v>1658</v>
      </c>
      <c r="M297" s="6" t="n">
        <v>3</v>
      </c>
      <c r="N297" s="6"/>
      <c r="O297" s="6"/>
    </row>
    <row r="298" customFormat="false" ht="22.35" hidden="false" customHeight="false" outlineLevel="0" collapsed="false">
      <c r="A298" s="6" t="n">
        <v>297</v>
      </c>
      <c r="B298" s="12" t="n">
        <v>46568</v>
      </c>
      <c r="C298" s="6" t="n">
        <v>43</v>
      </c>
      <c r="D298" s="6" t="s">
        <v>111</v>
      </c>
      <c r="E298" s="6" t="s">
        <v>1659</v>
      </c>
      <c r="F298" s="6" t="s">
        <v>1660</v>
      </c>
      <c r="G298" s="6" t="s">
        <v>1661</v>
      </c>
      <c r="H298" s="6" t="s">
        <v>1648</v>
      </c>
      <c r="I298" s="6" t="s">
        <v>1649</v>
      </c>
      <c r="J298" s="6" t="s">
        <v>1662</v>
      </c>
      <c r="K298" s="6" t="s">
        <v>1663</v>
      </c>
      <c r="L298" s="6" t="s">
        <v>216</v>
      </c>
      <c r="M298" s="6" t="n">
        <v>3</v>
      </c>
      <c r="N298" s="6"/>
      <c r="O298" s="6"/>
    </row>
    <row r="299" customFormat="false" ht="32.8" hidden="false" customHeight="false" outlineLevel="0" collapsed="false">
      <c r="A299" s="6" t="n">
        <v>298</v>
      </c>
      <c r="B299" s="12" t="n">
        <v>46569</v>
      </c>
      <c r="C299" s="6" t="n">
        <v>43</v>
      </c>
      <c r="D299" s="6" t="s">
        <v>111</v>
      </c>
      <c r="E299" s="6" t="s">
        <v>1664</v>
      </c>
      <c r="F299" s="6" t="s">
        <v>1665</v>
      </c>
      <c r="G299" s="6" t="s">
        <v>1666</v>
      </c>
      <c r="H299" s="6" t="s">
        <v>1667</v>
      </c>
      <c r="I299" s="6" t="s">
        <v>1668</v>
      </c>
      <c r="J299" s="6" t="s">
        <v>1669</v>
      </c>
      <c r="K299" s="6" t="s">
        <v>1670</v>
      </c>
      <c r="L299" s="6" t="s">
        <v>1278</v>
      </c>
      <c r="M299" s="6" t="n">
        <v>3</v>
      </c>
      <c r="N299" s="6"/>
      <c r="O299" s="6"/>
    </row>
    <row r="300" customFormat="false" ht="22.35" hidden="false" customHeight="false" outlineLevel="0" collapsed="false">
      <c r="A300" s="6" t="n">
        <v>299</v>
      </c>
      <c r="B300" s="12" t="n">
        <v>46570</v>
      </c>
      <c r="C300" s="6" t="n">
        <v>43</v>
      </c>
      <c r="D300" s="6" t="s">
        <v>111</v>
      </c>
      <c r="E300" s="6" t="s">
        <v>1671</v>
      </c>
      <c r="F300" s="6" t="s">
        <v>1672</v>
      </c>
      <c r="G300" s="6" t="s">
        <v>1673</v>
      </c>
      <c r="H300" s="6" t="s">
        <v>1674</v>
      </c>
      <c r="I300" s="6" t="s">
        <v>1675</v>
      </c>
      <c r="J300" s="6" t="s">
        <v>1676</v>
      </c>
      <c r="K300" s="6" t="s">
        <v>1677</v>
      </c>
      <c r="L300" s="6" t="s">
        <v>847</v>
      </c>
      <c r="M300" s="6" t="n">
        <v>3</v>
      </c>
      <c r="N300" s="6"/>
      <c r="O300" s="6"/>
    </row>
    <row r="301" customFormat="false" ht="22.35" hidden="false" customHeight="false" outlineLevel="0" collapsed="false">
      <c r="A301" s="6" t="n">
        <v>300</v>
      </c>
      <c r="B301" s="12" t="n">
        <v>46571</v>
      </c>
      <c r="C301" s="6" t="n">
        <v>43</v>
      </c>
      <c r="D301" s="6" t="s">
        <v>111</v>
      </c>
      <c r="E301" s="6" t="s">
        <v>1678</v>
      </c>
      <c r="F301" s="6" t="s">
        <v>1679</v>
      </c>
      <c r="G301" s="6" t="s">
        <v>1680</v>
      </c>
      <c r="H301" s="6" t="s">
        <v>1681</v>
      </c>
      <c r="I301" s="6" t="s">
        <v>1682</v>
      </c>
      <c r="J301" s="6" t="s">
        <v>1683</v>
      </c>
      <c r="K301" s="6" t="s">
        <v>1684</v>
      </c>
      <c r="L301" s="6" t="s">
        <v>460</v>
      </c>
      <c r="M301" s="6" t="n">
        <v>3</v>
      </c>
      <c r="N301" s="6"/>
      <c r="O301" s="6"/>
    </row>
    <row r="302" customFormat="false" ht="64.15" hidden="false" customHeight="false" outlineLevel="0" collapsed="false">
      <c r="A302" s="14" t="n">
        <v>301</v>
      </c>
      <c r="B302" s="15" t="n">
        <v>46572</v>
      </c>
      <c r="C302" s="14" t="n">
        <v>43</v>
      </c>
      <c r="D302" s="14" t="s">
        <v>111</v>
      </c>
      <c r="E302" s="14" t="s">
        <v>1685</v>
      </c>
      <c r="F302" s="14" t="s">
        <v>201</v>
      </c>
      <c r="G302" s="14" t="s">
        <v>202</v>
      </c>
      <c r="H302" s="14" t="s">
        <v>181</v>
      </c>
      <c r="I302" s="14" t="s">
        <v>182</v>
      </c>
      <c r="J302" s="14" t="s">
        <v>1686</v>
      </c>
      <c r="K302" s="14" t="s">
        <v>201</v>
      </c>
      <c r="L302" s="14" t="s">
        <v>204</v>
      </c>
      <c r="M302" s="14" t="n">
        <v>3</v>
      </c>
      <c r="N302" s="14"/>
      <c r="O302" s="14"/>
    </row>
    <row r="303" customFormat="false" ht="22.35" hidden="false" customHeight="false" outlineLevel="0" collapsed="false">
      <c r="A303" s="6" t="n">
        <v>302</v>
      </c>
      <c r="B303" s="12" t="n">
        <v>46573</v>
      </c>
      <c r="C303" s="6" t="n">
        <v>44</v>
      </c>
      <c r="D303" s="6" t="s">
        <v>111</v>
      </c>
      <c r="E303" s="6" t="s">
        <v>1687</v>
      </c>
      <c r="F303" s="6" t="s">
        <v>1688</v>
      </c>
      <c r="G303" s="6" t="s">
        <v>1689</v>
      </c>
      <c r="H303" s="6" t="s">
        <v>1690</v>
      </c>
      <c r="I303" s="6" t="s">
        <v>1691</v>
      </c>
      <c r="J303" s="6" t="s">
        <v>1692</v>
      </c>
      <c r="K303" s="6" t="s">
        <v>1693</v>
      </c>
      <c r="L303" s="6" t="s">
        <v>216</v>
      </c>
      <c r="M303" s="6" t="n">
        <v>3</v>
      </c>
      <c r="N303" s="6"/>
      <c r="O303" s="6"/>
    </row>
    <row r="304" customFormat="false" ht="22.35" hidden="false" customHeight="false" outlineLevel="0" collapsed="false">
      <c r="A304" s="6" t="n">
        <v>303</v>
      </c>
      <c r="B304" s="12" t="n">
        <v>46574</v>
      </c>
      <c r="C304" s="6" t="n">
        <v>44</v>
      </c>
      <c r="D304" s="6" t="s">
        <v>111</v>
      </c>
      <c r="E304" s="6" t="s">
        <v>1694</v>
      </c>
      <c r="F304" s="6" t="s">
        <v>1695</v>
      </c>
      <c r="G304" s="6" t="s">
        <v>1696</v>
      </c>
      <c r="H304" s="6" t="s">
        <v>1696</v>
      </c>
      <c r="I304" s="6" t="s">
        <v>1697</v>
      </c>
      <c r="J304" s="6" t="s">
        <v>1698</v>
      </c>
      <c r="K304" s="6" t="s">
        <v>1699</v>
      </c>
      <c r="L304" s="6" t="s">
        <v>1700</v>
      </c>
      <c r="M304" s="6" t="n">
        <v>3</v>
      </c>
      <c r="N304" s="6"/>
      <c r="O304" s="6"/>
    </row>
    <row r="305" customFormat="false" ht="22.35" hidden="false" customHeight="false" outlineLevel="0" collapsed="false">
      <c r="A305" s="6" t="n">
        <v>304</v>
      </c>
      <c r="B305" s="12" t="n">
        <v>46575</v>
      </c>
      <c r="C305" s="6" t="n">
        <v>44</v>
      </c>
      <c r="D305" s="6" t="s">
        <v>111</v>
      </c>
      <c r="E305" s="6" t="s">
        <v>1701</v>
      </c>
      <c r="F305" s="6" t="s">
        <v>1702</v>
      </c>
      <c r="G305" s="6" t="s">
        <v>1703</v>
      </c>
      <c r="H305" s="6" t="s">
        <v>1704</v>
      </c>
      <c r="I305" s="6" t="s">
        <v>1705</v>
      </c>
      <c r="J305" s="6" t="s">
        <v>1706</v>
      </c>
      <c r="K305" s="6" t="s">
        <v>1707</v>
      </c>
      <c r="L305" s="6" t="s">
        <v>216</v>
      </c>
      <c r="M305" s="6" t="n">
        <v>3</v>
      </c>
      <c r="N305" s="6"/>
      <c r="O305" s="6"/>
    </row>
    <row r="306" customFormat="false" ht="22.35" hidden="false" customHeight="false" outlineLevel="0" collapsed="false">
      <c r="A306" s="6" t="n">
        <v>305</v>
      </c>
      <c r="B306" s="12" t="n">
        <v>46576</v>
      </c>
      <c r="C306" s="6" t="n">
        <v>44</v>
      </c>
      <c r="D306" s="6" t="s">
        <v>111</v>
      </c>
      <c r="E306" s="6" t="s">
        <v>1708</v>
      </c>
      <c r="F306" s="6" t="s">
        <v>1709</v>
      </c>
      <c r="G306" s="6" t="s">
        <v>1710</v>
      </c>
      <c r="H306" s="6" t="s">
        <v>1681</v>
      </c>
      <c r="I306" s="6" t="s">
        <v>1682</v>
      </c>
      <c r="J306" s="6" t="s">
        <v>1711</v>
      </c>
      <c r="K306" s="6" t="s">
        <v>1712</v>
      </c>
      <c r="L306" s="6" t="s">
        <v>1713</v>
      </c>
      <c r="M306" s="6" t="n">
        <v>3</v>
      </c>
      <c r="N306" s="6"/>
      <c r="O306" s="6"/>
    </row>
    <row r="307" customFormat="false" ht="22.35" hidden="false" customHeight="false" outlineLevel="0" collapsed="false">
      <c r="A307" s="6" t="n">
        <v>306</v>
      </c>
      <c r="B307" s="12" t="n">
        <v>46577</v>
      </c>
      <c r="C307" s="6" t="n">
        <v>44</v>
      </c>
      <c r="D307" s="6" t="s">
        <v>111</v>
      </c>
      <c r="E307" s="6" t="s">
        <v>1714</v>
      </c>
      <c r="F307" s="6" t="s">
        <v>1715</v>
      </c>
      <c r="G307" s="6" t="s">
        <v>1716</v>
      </c>
      <c r="H307" s="6" t="s">
        <v>371</v>
      </c>
      <c r="I307" s="6" t="s">
        <v>372</v>
      </c>
      <c r="J307" s="6" t="s">
        <v>1717</v>
      </c>
      <c r="K307" s="6" t="s">
        <v>1718</v>
      </c>
      <c r="L307" s="6" t="s">
        <v>1719</v>
      </c>
      <c r="M307" s="6" t="n">
        <v>3</v>
      </c>
      <c r="N307" s="6"/>
      <c r="O307" s="6"/>
    </row>
    <row r="308" customFormat="false" ht="22.35" hidden="false" customHeight="false" outlineLevel="0" collapsed="false">
      <c r="A308" s="6" t="n">
        <v>307</v>
      </c>
      <c r="B308" s="12" t="n">
        <v>46578</v>
      </c>
      <c r="C308" s="6" t="n">
        <v>44</v>
      </c>
      <c r="D308" s="6" t="s">
        <v>111</v>
      </c>
      <c r="E308" s="6" t="s">
        <v>1720</v>
      </c>
      <c r="F308" s="6" t="s">
        <v>1721</v>
      </c>
      <c r="G308" s="6" t="s">
        <v>1722</v>
      </c>
      <c r="H308" s="6" t="s">
        <v>1681</v>
      </c>
      <c r="I308" s="6" t="s">
        <v>1682</v>
      </c>
      <c r="J308" s="6" t="s">
        <v>1723</v>
      </c>
      <c r="K308" s="6" t="s">
        <v>1724</v>
      </c>
      <c r="L308" s="6" t="s">
        <v>1725</v>
      </c>
      <c r="M308" s="6" t="n">
        <v>3</v>
      </c>
      <c r="N308" s="6"/>
      <c r="O308" s="6"/>
    </row>
    <row r="309" customFormat="false" ht="64.15" hidden="false" customHeight="false" outlineLevel="0" collapsed="false">
      <c r="A309" s="14" t="n">
        <v>308</v>
      </c>
      <c r="B309" s="15" t="n">
        <v>46579</v>
      </c>
      <c r="C309" s="14" t="n">
        <v>44</v>
      </c>
      <c r="D309" s="14" t="s">
        <v>111</v>
      </c>
      <c r="E309" s="14" t="s">
        <v>1726</v>
      </c>
      <c r="F309" s="14" t="s">
        <v>201</v>
      </c>
      <c r="G309" s="14" t="s">
        <v>202</v>
      </c>
      <c r="H309" s="14" t="s">
        <v>181</v>
      </c>
      <c r="I309" s="14" t="s">
        <v>182</v>
      </c>
      <c r="J309" s="14" t="s">
        <v>1727</v>
      </c>
      <c r="K309" s="14" t="s">
        <v>201</v>
      </c>
      <c r="L309" s="14" t="s">
        <v>204</v>
      </c>
      <c r="M309" s="14" t="n">
        <v>3</v>
      </c>
      <c r="N309" s="14"/>
      <c r="O309" s="14"/>
    </row>
    <row r="310" customFormat="false" ht="32.8" hidden="false" customHeight="false" outlineLevel="0" collapsed="false">
      <c r="A310" s="6" t="n">
        <v>309</v>
      </c>
      <c r="B310" s="12" t="n">
        <v>46580</v>
      </c>
      <c r="C310" s="6" t="n">
        <v>45</v>
      </c>
      <c r="D310" s="6" t="s">
        <v>111</v>
      </c>
      <c r="E310" s="6" t="s">
        <v>1728</v>
      </c>
      <c r="F310" s="6" t="s">
        <v>1729</v>
      </c>
      <c r="G310" s="6" t="s">
        <v>1730</v>
      </c>
      <c r="H310" s="6" t="s">
        <v>1731</v>
      </c>
      <c r="I310" s="6" t="s">
        <v>1732</v>
      </c>
      <c r="J310" s="6" t="s">
        <v>1733</v>
      </c>
      <c r="K310" s="6" t="s">
        <v>1734</v>
      </c>
      <c r="L310" s="6" t="s">
        <v>983</v>
      </c>
      <c r="M310" s="6" t="n">
        <v>3</v>
      </c>
      <c r="N310" s="6"/>
      <c r="O310" s="6"/>
    </row>
    <row r="311" customFormat="false" ht="22.35" hidden="false" customHeight="false" outlineLevel="0" collapsed="false">
      <c r="A311" s="6" t="n">
        <v>310</v>
      </c>
      <c r="B311" s="12" t="n">
        <v>46581</v>
      </c>
      <c r="C311" s="6" t="n">
        <v>45</v>
      </c>
      <c r="D311" s="6" t="s">
        <v>111</v>
      </c>
      <c r="E311" s="6" t="s">
        <v>1735</v>
      </c>
      <c r="F311" s="6" t="s">
        <v>1736</v>
      </c>
      <c r="G311" s="6" t="s">
        <v>1737</v>
      </c>
      <c r="H311" s="6" t="s">
        <v>1737</v>
      </c>
      <c r="I311" s="6" t="s">
        <v>1738</v>
      </c>
      <c r="J311" s="6" t="s">
        <v>1739</v>
      </c>
      <c r="K311" s="6" t="s">
        <v>1740</v>
      </c>
      <c r="L311" s="6" t="s">
        <v>1741</v>
      </c>
      <c r="M311" s="6" t="n">
        <v>3</v>
      </c>
      <c r="N311" s="6"/>
      <c r="O311" s="6"/>
    </row>
    <row r="312" customFormat="false" ht="22.35" hidden="false" customHeight="false" outlineLevel="0" collapsed="false">
      <c r="A312" s="6" t="n">
        <v>311</v>
      </c>
      <c r="B312" s="12" t="n">
        <v>46582</v>
      </c>
      <c r="C312" s="6" t="n">
        <v>45</v>
      </c>
      <c r="D312" s="6" t="s">
        <v>111</v>
      </c>
      <c r="E312" s="6" t="s">
        <v>1742</v>
      </c>
      <c r="F312" s="6" t="s">
        <v>1743</v>
      </c>
      <c r="G312" s="6" t="s">
        <v>1744</v>
      </c>
      <c r="H312" s="6" t="s">
        <v>1744</v>
      </c>
      <c r="I312" s="6" t="s">
        <v>1745</v>
      </c>
      <c r="J312" s="6" t="s">
        <v>1746</v>
      </c>
      <c r="K312" s="6" t="s">
        <v>1747</v>
      </c>
      <c r="L312" s="6" t="s">
        <v>216</v>
      </c>
      <c r="M312" s="6" t="n">
        <v>3</v>
      </c>
      <c r="N312" s="6"/>
      <c r="O312" s="6"/>
    </row>
    <row r="313" customFormat="false" ht="32.8" hidden="false" customHeight="false" outlineLevel="0" collapsed="false">
      <c r="A313" s="6" t="n">
        <v>312</v>
      </c>
      <c r="B313" s="12" t="n">
        <v>46583</v>
      </c>
      <c r="C313" s="6" t="n">
        <v>45</v>
      </c>
      <c r="D313" s="6" t="s">
        <v>111</v>
      </c>
      <c r="E313" s="6" t="s">
        <v>1748</v>
      </c>
      <c r="F313" s="6" t="s">
        <v>1749</v>
      </c>
      <c r="G313" s="6" t="s">
        <v>1750</v>
      </c>
      <c r="H313" s="6" t="s">
        <v>1731</v>
      </c>
      <c r="I313" s="6" t="s">
        <v>1732</v>
      </c>
      <c r="J313" s="6" t="s">
        <v>1751</v>
      </c>
      <c r="K313" s="6" t="s">
        <v>1752</v>
      </c>
      <c r="L313" s="6" t="s">
        <v>216</v>
      </c>
      <c r="M313" s="6" t="n">
        <v>3</v>
      </c>
      <c r="N313" s="6"/>
      <c r="O313" s="6"/>
    </row>
    <row r="314" customFormat="false" ht="22.35" hidden="false" customHeight="false" outlineLevel="0" collapsed="false">
      <c r="A314" s="6" t="n">
        <v>313</v>
      </c>
      <c r="B314" s="12" t="n">
        <v>46584</v>
      </c>
      <c r="C314" s="6" t="n">
        <v>45</v>
      </c>
      <c r="D314" s="6" t="s">
        <v>111</v>
      </c>
      <c r="E314" s="6" t="s">
        <v>1753</v>
      </c>
      <c r="F314" s="6" t="s">
        <v>1754</v>
      </c>
      <c r="G314" s="6" t="s">
        <v>1755</v>
      </c>
      <c r="H314" s="6" t="s">
        <v>1756</v>
      </c>
      <c r="I314" s="6" t="s">
        <v>1757</v>
      </c>
      <c r="J314" s="6" t="s">
        <v>1758</v>
      </c>
      <c r="K314" s="6" t="s">
        <v>1759</v>
      </c>
      <c r="L314" s="6" t="s">
        <v>216</v>
      </c>
      <c r="M314" s="6" t="n">
        <v>3</v>
      </c>
      <c r="N314" s="6"/>
      <c r="O314" s="6"/>
    </row>
    <row r="315" customFormat="false" ht="32.8" hidden="false" customHeight="false" outlineLevel="0" collapsed="false">
      <c r="A315" s="6" t="n">
        <v>314</v>
      </c>
      <c r="B315" s="12" t="n">
        <v>46585</v>
      </c>
      <c r="C315" s="6" t="n">
        <v>45</v>
      </c>
      <c r="D315" s="6" t="s">
        <v>111</v>
      </c>
      <c r="E315" s="6" t="s">
        <v>1760</v>
      </c>
      <c r="F315" s="6" t="s">
        <v>1761</v>
      </c>
      <c r="G315" s="6" t="s">
        <v>1762</v>
      </c>
      <c r="H315" s="6" t="s">
        <v>1731</v>
      </c>
      <c r="I315" s="6" t="s">
        <v>1732</v>
      </c>
      <c r="J315" s="6" t="s">
        <v>1763</v>
      </c>
      <c r="K315" s="6" t="s">
        <v>1764</v>
      </c>
      <c r="L315" s="6" t="s">
        <v>460</v>
      </c>
      <c r="M315" s="6" t="n">
        <v>3</v>
      </c>
      <c r="N315" s="6"/>
      <c r="O315" s="6"/>
    </row>
    <row r="316" customFormat="false" ht="64.15" hidden="false" customHeight="false" outlineLevel="0" collapsed="false">
      <c r="A316" s="14" t="n">
        <v>315</v>
      </c>
      <c r="B316" s="15" t="n">
        <v>46586</v>
      </c>
      <c r="C316" s="14" t="n">
        <v>45</v>
      </c>
      <c r="D316" s="14" t="s">
        <v>111</v>
      </c>
      <c r="E316" s="14" t="s">
        <v>1765</v>
      </c>
      <c r="F316" s="14" t="s">
        <v>201</v>
      </c>
      <c r="G316" s="14" t="s">
        <v>202</v>
      </c>
      <c r="H316" s="14" t="s">
        <v>181</v>
      </c>
      <c r="I316" s="14" t="s">
        <v>182</v>
      </c>
      <c r="J316" s="14" t="s">
        <v>1766</v>
      </c>
      <c r="K316" s="14" t="s">
        <v>201</v>
      </c>
      <c r="L316" s="14" t="s">
        <v>204</v>
      </c>
      <c r="M316" s="14" t="n">
        <v>3</v>
      </c>
      <c r="N316" s="14"/>
      <c r="O316" s="14"/>
    </row>
    <row r="317" customFormat="false" ht="22.35" hidden="false" customHeight="false" outlineLevel="0" collapsed="false">
      <c r="A317" s="6" t="n">
        <v>316</v>
      </c>
      <c r="B317" s="12" t="n">
        <v>46587</v>
      </c>
      <c r="C317" s="6" t="n">
        <v>46</v>
      </c>
      <c r="D317" s="6" t="s">
        <v>111</v>
      </c>
      <c r="E317" s="6" t="s">
        <v>1767</v>
      </c>
      <c r="F317" s="6" t="s">
        <v>1768</v>
      </c>
      <c r="G317" s="6" t="s">
        <v>1769</v>
      </c>
      <c r="H317" s="6" t="s">
        <v>158</v>
      </c>
      <c r="I317" s="6" t="s">
        <v>159</v>
      </c>
      <c r="J317" s="6" t="s">
        <v>1770</v>
      </c>
      <c r="K317" s="6" t="s">
        <v>1771</v>
      </c>
      <c r="L317" s="6" t="s">
        <v>216</v>
      </c>
      <c r="M317" s="6" t="n">
        <v>4</v>
      </c>
      <c r="N317" s="6"/>
      <c r="O317" s="6"/>
    </row>
    <row r="318" customFormat="false" ht="22.35" hidden="false" customHeight="false" outlineLevel="0" collapsed="false">
      <c r="A318" s="6" t="n">
        <v>317</v>
      </c>
      <c r="B318" s="12" t="n">
        <v>46588</v>
      </c>
      <c r="C318" s="6" t="n">
        <v>46</v>
      </c>
      <c r="D318" s="6" t="s">
        <v>111</v>
      </c>
      <c r="E318" s="6" t="s">
        <v>1772</v>
      </c>
      <c r="F318" s="6" t="s">
        <v>1773</v>
      </c>
      <c r="G318" s="6" t="s">
        <v>1774</v>
      </c>
      <c r="H318" s="6" t="s">
        <v>1774</v>
      </c>
      <c r="I318" s="6" t="s">
        <v>1775</v>
      </c>
      <c r="J318" s="6" t="s">
        <v>1776</v>
      </c>
      <c r="K318" s="6" t="s">
        <v>1777</v>
      </c>
      <c r="L318" s="6" t="s">
        <v>216</v>
      </c>
      <c r="M318" s="6" t="n">
        <v>4</v>
      </c>
      <c r="N318" s="6"/>
      <c r="O318" s="6"/>
    </row>
    <row r="319" customFormat="false" ht="22.35" hidden="false" customHeight="false" outlineLevel="0" collapsed="false">
      <c r="A319" s="6" t="n">
        <v>318</v>
      </c>
      <c r="B319" s="12" t="n">
        <v>46589</v>
      </c>
      <c r="C319" s="6" t="n">
        <v>46</v>
      </c>
      <c r="D319" s="6" t="s">
        <v>111</v>
      </c>
      <c r="E319" s="6" t="s">
        <v>1778</v>
      </c>
      <c r="F319" s="6" t="s">
        <v>1779</v>
      </c>
      <c r="G319" s="6" t="s">
        <v>1780</v>
      </c>
      <c r="H319" s="6" t="s">
        <v>181</v>
      </c>
      <c r="I319" s="6" t="s">
        <v>182</v>
      </c>
      <c r="J319" s="6" t="s">
        <v>1781</v>
      </c>
      <c r="K319" s="6" t="s">
        <v>1782</v>
      </c>
      <c r="L319" s="6" t="s">
        <v>578</v>
      </c>
      <c r="M319" s="6" t="n">
        <v>4</v>
      </c>
      <c r="N319" s="6"/>
      <c r="O319" s="6"/>
    </row>
    <row r="320" customFormat="false" ht="22.35" hidden="false" customHeight="false" outlineLevel="0" collapsed="false">
      <c r="A320" s="6" t="n">
        <v>319</v>
      </c>
      <c r="B320" s="12" t="n">
        <v>46590</v>
      </c>
      <c r="C320" s="6" t="n">
        <v>46</v>
      </c>
      <c r="D320" s="6" t="s">
        <v>111</v>
      </c>
      <c r="E320" s="6" t="s">
        <v>1783</v>
      </c>
      <c r="F320" s="6" t="s">
        <v>1784</v>
      </c>
      <c r="G320" s="6" t="s">
        <v>1785</v>
      </c>
      <c r="H320" s="6" t="s">
        <v>1786</v>
      </c>
      <c r="I320" s="6" t="s">
        <v>1787</v>
      </c>
      <c r="J320" s="6" t="s">
        <v>1788</v>
      </c>
      <c r="K320" s="6" t="s">
        <v>1789</v>
      </c>
      <c r="L320" s="6" t="s">
        <v>1276</v>
      </c>
      <c r="M320" s="6" t="n">
        <v>4</v>
      </c>
      <c r="N320" s="6"/>
      <c r="O320" s="6"/>
    </row>
    <row r="321" customFormat="false" ht="22.35" hidden="false" customHeight="false" outlineLevel="0" collapsed="false">
      <c r="A321" s="6" t="n">
        <v>320</v>
      </c>
      <c r="B321" s="12" t="n">
        <v>46591</v>
      </c>
      <c r="C321" s="6" t="n">
        <v>46</v>
      </c>
      <c r="D321" s="6" t="s">
        <v>111</v>
      </c>
      <c r="E321" s="6" t="s">
        <v>1790</v>
      </c>
      <c r="F321" s="6" t="s">
        <v>1791</v>
      </c>
      <c r="G321" s="6" t="s">
        <v>1792</v>
      </c>
      <c r="H321" s="6" t="s">
        <v>1045</v>
      </c>
      <c r="I321" s="6" t="s">
        <v>1046</v>
      </c>
      <c r="J321" s="6" t="s">
        <v>1793</v>
      </c>
      <c r="K321" s="6" t="s">
        <v>1794</v>
      </c>
      <c r="L321" s="6" t="s">
        <v>216</v>
      </c>
      <c r="M321" s="6" t="n">
        <v>4</v>
      </c>
      <c r="N321" s="6"/>
      <c r="O321" s="6"/>
    </row>
    <row r="322" customFormat="false" ht="22.35" hidden="false" customHeight="false" outlineLevel="0" collapsed="false">
      <c r="A322" s="6" t="n">
        <v>321</v>
      </c>
      <c r="B322" s="12" t="n">
        <v>46592</v>
      </c>
      <c r="C322" s="6" t="n">
        <v>46</v>
      </c>
      <c r="D322" s="6" t="s">
        <v>111</v>
      </c>
      <c r="E322" s="6" t="s">
        <v>1795</v>
      </c>
      <c r="F322" s="6" t="s">
        <v>1796</v>
      </c>
      <c r="G322" s="6" t="s">
        <v>551</v>
      </c>
      <c r="H322" s="6" t="s">
        <v>181</v>
      </c>
      <c r="I322" s="6" t="s">
        <v>182</v>
      </c>
      <c r="J322" s="6" t="s">
        <v>1797</v>
      </c>
      <c r="K322" s="6" t="s">
        <v>1798</v>
      </c>
      <c r="L322" s="6" t="s">
        <v>1799</v>
      </c>
      <c r="M322" s="6" t="n">
        <v>4</v>
      </c>
      <c r="N322" s="6"/>
      <c r="O322" s="6"/>
    </row>
    <row r="323" customFormat="false" ht="74.6" hidden="false" customHeight="false" outlineLevel="0" collapsed="false">
      <c r="A323" s="14" t="n">
        <v>322</v>
      </c>
      <c r="B323" s="15" t="n">
        <v>46593</v>
      </c>
      <c r="C323" s="14" t="n">
        <v>46</v>
      </c>
      <c r="D323" s="14" t="s">
        <v>111</v>
      </c>
      <c r="E323" s="14" t="s">
        <v>1800</v>
      </c>
      <c r="F323" s="14" t="s">
        <v>201</v>
      </c>
      <c r="G323" s="14" t="s">
        <v>202</v>
      </c>
      <c r="H323" s="14" t="s">
        <v>181</v>
      </c>
      <c r="I323" s="14" t="s">
        <v>182</v>
      </c>
      <c r="J323" s="14" t="s">
        <v>1801</v>
      </c>
      <c r="K323" s="14" t="s">
        <v>201</v>
      </c>
      <c r="L323" s="14" t="s">
        <v>204</v>
      </c>
      <c r="M323" s="14" t="n">
        <v>4</v>
      </c>
      <c r="N323" s="14"/>
      <c r="O323" s="14"/>
    </row>
    <row r="324" customFormat="false" ht="22.35" hidden="false" customHeight="false" outlineLevel="0" collapsed="false">
      <c r="A324" s="6" t="n">
        <v>323</v>
      </c>
      <c r="B324" s="12" t="n">
        <v>46594</v>
      </c>
      <c r="C324" s="6" t="n">
        <v>47</v>
      </c>
      <c r="D324" s="6" t="s">
        <v>111</v>
      </c>
      <c r="E324" s="6" t="s">
        <v>1802</v>
      </c>
      <c r="F324" s="6" t="s">
        <v>1803</v>
      </c>
      <c r="G324" s="6" t="s">
        <v>551</v>
      </c>
      <c r="H324" s="6" t="s">
        <v>181</v>
      </c>
      <c r="I324" s="6" t="s">
        <v>182</v>
      </c>
      <c r="J324" s="6" t="s">
        <v>1804</v>
      </c>
      <c r="K324" s="6" t="s">
        <v>1805</v>
      </c>
      <c r="L324" s="6" t="s">
        <v>1286</v>
      </c>
      <c r="M324" s="6" t="n">
        <v>5</v>
      </c>
      <c r="N324" s="6"/>
      <c r="O324" s="6"/>
    </row>
    <row r="325" customFormat="false" ht="22.35" hidden="false" customHeight="false" outlineLevel="0" collapsed="false">
      <c r="A325" s="6" t="n">
        <v>324</v>
      </c>
      <c r="B325" s="12" t="n">
        <v>46595</v>
      </c>
      <c r="C325" s="6" t="n">
        <v>47</v>
      </c>
      <c r="D325" s="6" t="s">
        <v>111</v>
      </c>
      <c r="E325" s="6" t="s">
        <v>1806</v>
      </c>
      <c r="F325" s="6" t="s">
        <v>1807</v>
      </c>
      <c r="G325" s="6" t="s">
        <v>551</v>
      </c>
      <c r="H325" s="6" t="s">
        <v>181</v>
      </c>
      <c r="I325" s="6" t="s">
        <v>182</v>
      </c>
      <c r="J325" s="6" t="s">
        <v>1808</v>
      </c>
      <c r="K325" s="6" t="s">
        <v>1809</v>
      </c>
      <c r="L325" s="6" t="s">
        <v>216</v>
      </c>
      <c r="M325" s="6" t="n">
        <v>5</v>
      </c>
      <c r="N325" s="6"/>
      <c r="O325" s="6"/>
    </row>
    <row r="326" customFormat="false" ht="22.35" hidden="false" customHeight="false" outlineLevel="0" collapsed="false">
      <c r="A326" s="6" t="n">
        <v>325</v>
      </c>
      <c r="B326" s="12" t="n">
        <v>46596</v>
      </c>
      <c r="C326" s="6" t="n">
        <v>47</v>
      </c>
      <c r="D326" s="6" t="s">
        <v>111</v>
      </c>
      <c r="E326" s="6" t="s">
        <v>1810</v>
      </c>
      <c r="F326" s="6" t="s">
        <v>1811</v>
      </c>
      <c r="G326" s="6" t="s">
        <v>551</v>
      </c>
      <c r="H326" s="6" t="s">
        <v>181</v>
      </c>
      <c r="I326" s="6" t="s">
        <v>182</v>
      </c>
      <c r="J326" s="6" t="s">
        <v>1808</v>
      </c>
      <c r="K326" s="6" t="s">
        <v>1812</v>
      </c>
      <c r="L326" s="6" t="s">
        <v>216</v>
      </c>
      <c r="M326" s="6" t="n">
        <v>5</v>
      </c>
      <c r="N326" s="6"/>
      <c r="O326" s="6"/>
    </row>
    <row r="327" customFormat="false" ht="22.35" hidden="false" customHeight="false" outlineLevel="0" collapsed="false">
      <c r="A327" s="6" t="n">
        <v>326</v>
      </c>
      <c r="B327" s="12" t="n">
        <v>46597</v>
      </c>
      <c r="C327" s="6" t="n">
        <v>47</v>
      </c>
      <c r="D327" s="6" t="s">
        <v>111</v>
      </c>
      <c r="E327" s="6" t="s">
        <v>1813</v>
      </c>
      <c r="F327" s="6" t="s">
        <v>1814</v>
      </c>
      <c r="G327" s="6" t="s">
        <v>551</v>
      </c>
      <c r="H327" s="6" t="s">
        <v>181</v>
      </c>
      <c r="I327" s="6" t="s">
        <v>182</v>
      </c>
      <c r="J327" s="6" t="s">
        <v>1815</v>
      </c>
      <c r="K327" s="6" t="s">
        <v>1816</v>
      </c>
      <c r="L327" s="6" t="s">
        <v>1817</v>
      </c>
      <c r="M327" s="6" t="n">
        <v>5</v>
      </c>
      <c r="N327" s="6"/>
      <c r="O327" s="6"/>
    </row>
    <row r="328" customFormat="false" ht="22.35" hidden="false" customHeight="false" outlineLevel="0" collapsed="false">
      <c r="A328" s="6" t="n">
        <v>327</v>
      </c>
      <c r="B328" s="12" t="n">
        <v>46598</v>
      </c>
      <c r="C328" s="6" t="n">
        <v>47</v>
      </c>
      <c r="D328" s="6" t="s">
        <v>111</v>
      </c>
      <c r="E328" s="6" t="s">
        <v>1818</v>
      </c>
      <c r="F328" s="6" t="s">
        <v>1819</v>
      </c>
      <c r="G328" s="6" t="s">
        <v>551</v>
      </c>
      <c r="H328" s="6" t="s">
        <v>181</v>
      </c>
      <c r="I328" s="6" t="s">
        <v>182</v>
      </c>
      <c r="J328" s="6" t="s">
        <v>1808</v>
      </c>
      <c r="K328" s="6" t="s">
        <v>1820</v>
      </c>
      <c r="L328" s="6" t="s">
        <v>1713</v>
      </c>
      <c r="M328" s="6" t="n">
        <v>5</v>
      </c>
      <c r="N328" s="6"/>
      <c r="O328" s="6"/>
    </row>
    <row r="329" customFormat="false" ht="22.35" hidden="false" customHeight="false" outlineLevel="0" collapsed="false">
      <c r="A329" s="6" t="n">
        <v>328</v>
      </c>
      <c r="B329" s="12" t="n">
        <v>46599</v>
      </c>
      <c r="C329" s="6" t="n">
        <v>47</v>
      </c>
      <c r="D329" s="6" t="s">
        <v>111</v>
      </c>
      <c r="E329" s="6" t="s">
        <v>1821</v>
      </c>
      <c r="F329" s="6" t="s">
        <v>1822</v>
      </c>
      <c r="G329" s="6" t="s">
        <v>551</v>
      </c>
      <c r="H329" s="6" t="s">
        <v>181</v>
      </c>
      <c r="I329" s="6" t="s">
        <v>182</v>
      </c>
      <c r="J329" s="6" t="s">
        <v>1808</v>
      </c>
      <c r="K329" s="6" t="s">
        <v>1823</v>
      </c>
      <c r="L329" s="6" t="s">
        <v>216</v>
      </c>
      <c r="M329" s="6" t="n">
        <v>5</v>
      </c>
      <c r="N329" s="6"/>
      <c r="O329" s="6"/>
    </row>
    <row r="330" customFormat="false" ht="64.15" hidden="false" customHeight="false" outlineLevel="0" collapsed="false">
      <c r="A330" s="14" t="n">
        <v>329</v>
      </c>
      <c r="B330" s="15" t="n">
        <v>46600</v>
      </c>
      <c r="C330" s="14" t="n">
        <v>47</v>
      </c>
      <c r="D330" s="14" t="s">
        <v>111</v>
      </c>
      <c r="E330" s="14" t="s">
        <v>1824</v>
      </c>
      <c r="F330" s="14" t="s">
        <v>201</v>
      </c>
      <c r="G330" s="14" t="s">
        <v>202</v>
      </c>
      <c r="H330" s="14" t="s">
        <v>181</v>
      </c>
      <c r="I330" s="14" t="s">
        <v>182</v>
      </c>
      <c r="J330" s="14" t="s">
        <v>1825</v>
      </c>
      <c r="K330" s="14" t="s">
        <v>201</v>
      </c>
      <c r="L330" s="14" t="s">
        <v>204</v>
      </c>
      <c r="M330" s="14" t="n">
        <v>5</v>
      </c>
      <c r="N330" s="14"/>
      <c r="O330" s="14"/>
    </row>
    <row r="331" customFormat="false" ht="22.35" hidden="false" customHeight="false" outlineLevel="0" collapsed="false">
      <c r="A331" s="6" t="n">
        <v>330</v>
      </c>
      <c r="B331" s="12" t="n">
        <v>46601</v>
      </c>
      <c r="C331" s="6" t="n">
        <v>48</v>
      </c>
      <c r="D331" s="6" t="s">
        <v>111</v>
      </c>
      <c r="E331" s="6" t="s">
        <v>1826</v>
      </c>
      <c r="F331" s="6" t="s">
        <v>1827</v>
      </c>
      <c r="G331" s="6" t="s">
        <v>551</v>
      </c>
      <c r="H331" s="6" t="s">
        <v>181</v>
      </c>
      <c r="I331" s="6" t="s">
        <v>182</v>
      </c>
      <c r="J331" s="6" t="s">
        <v>1828</v>
      </c>
      <c r="K331" s="6" t="s">
        <v>1829</v>
      </c>
      <c r="L331" s="6" t="s">
        <v>1830</v>
      </c>
      <c r="M331" s="6" t="n">
        <v>5</v>
      </c>
      <c r="N331" s="6"/>
      <c r="O331" s="6"/>
    </row>
    <row r="332" customFormat="false" ht="22.35" hidden="false" customHeight="false" outlineLevel="0" collapsed="false">
      <c r="A332" s="6" t="n">
        <v>331</v>
      </c>
      <c r="B332" s="12" t="n">
        <v>46602</v>
      </c>
      <c r="C332" s="6" t="n">
        <v>48</v>
      </c>
      <c r="D332" s="6" t="s">
        <v>111</v>
      </c>
      <c r="E332" s="6" t="s">
        <v>1831</v>
      </c>
      <c r="F332" s="6" t="s">
        <v>1832</v>
      </c>
      <c r="G332" s="6" t="s">
        <v>551</v>
      </c>
      <c r="H332" s="6" t="s">
        <v>181</v>
      </c>
      <c r="I332" s="6" t="s">
        <v>182</v>
      </c>
      <c r="J332" s="6" t="s">
        <v>1833</v>
      </c>
      <c r="K332" s="6" t="s">
        <v>1834</v>
      </c>
      <c r="L332" s="6" t="s">
        <v>216</v>
      </c>
      <c r="M332" s="6" t="n">
        <v>5</v>
      </c>
      <c r="N332" s="6"/>
      <c r="O332" s="6"/>
    </row>
    <row r="333" customFormat="false" ht="22.35" hidden="false" customHeight="false" outlineLevel="0" collapsed="false">
      <c r="A333" s="6" t="n">
        <v>332</v>
      </c>
      <c r="B333" s="12" t="n">
        <v>46603</v>
      </c>
      <c r="C333" s="6" t="n">
        <v>48</v>
      </c>
      <c r="D333" s="6" t="s">
        <v>111</v>
      </c>
      <c r="E333" s="6" t="s">
        <v>1835</v>
      </c>
      <c r="F333" s="6" t="s">
        <v>1286</v>
      </c>
      <c r="G333" s="6" t="s">
        <v>551</v>
      </c>
      <c r="H333" s="6" t="s">
        <v>181</v>
      </c>
      <c r="I333" s="6" t="s">
        <v>182</v>
      </c>
      <c r="J333" s="6" t="s">
        <v>593</v>
      </c>
      <c r="K333" s="6" t="s">
        <v>1836</v>
      </c>
      <c r="L333" s="6" t="s">
        <v>593</v>
      </c>
      <c r="M333" s="6" t="n">
        <v>5</v>
      </c>
      <c r="N333" s="6"/>
      <c r="O333" s="6"/>
    </row>
    <row r="334" customFormat="false" ht="22.35" hidden="false" customHeight="false" outlineLevel="0" collapsed="false">
      <c r="A334" s="6" t="n">
        <v>333</v>
      </c>
      <c r="B334" s="12" t="n">
        <v>46604</v>
      </c>
      <c r="C334" s="6" t="n">
        <v>48</v>
      </c>
      <c r="D334" s="6" t="s">
        <v>111</v>
      </c>
      <c r="E334" s="6" t="s">
        <v>1837</v>
      </c>
      <c r="F334" s="6" t="s">
        <v>1838</v>
      </c>
      <c r="G334" s="6" t="s">
        <v>551</v>
      </c>
      <c r="H334" s="6" t="s">
        <v>181</v>
      </c>
      <c r="I334" s="6" t="s">
        <v>182</v>
      </c>
      <c r="J334" s="6" t="s">
        <v>1099</v>
      </c>
      <c r="K334" s="6" t="s">
        <v>1839</v>
      </c>
      <c r="L334" s="6" t="s">
        <v>847</v>
      </c>
      <c r="M334" s="6" t="n">
        <v>5</v>
      </c>
      <c r="N334" s="6"/>
      <c r="O334" s="6"/>
    </row>
    <row r="335" customFormat="false" ht="22.35" hidden="false" customHeight="false" outlineLevel="0" collapsed="false">
      <c r="A335" s="6" t="n">
        <v>334</v>
      </c>
      <c r="B335" s="12" t="n">
        <v>46605</v>
      </c>
      <c r="C335" s="6" t="n">
        <v>48</v>
      </c>
      <c r="D335" s="6" t="s">
        <v>111</v>
      </c>
      <c r="E335" s="6" t="s">
        <v>1840</v>
      </c>
      <c r="F335" s="6" t="s">
        <v>1841</v>
      </c>
      <c r="G335" s="6" t="s">
        <v>551</v>
      </c>
      <c r="H335" s="6" t="s">
        <v>181</v>
      </c>
      <c r="I335" s="6" t="s">
        <v>182</v>
      </c>
      <c r="J335" s="6" t="s">
        <v>1293</v>
      </c>
      <c r="K335" s="6" t="s">
        <v>1842</v>
      </c>
      <c r="L335" s="6" t="s">
        <v>1843</v>
      </c>
      <c r="M335" s="6" t="n">
        <v>5</v>
      </c>
      <c r="N335" s="6"/>
      <c r="O335" s="6"/>
    </row>
    <row r="336" customFormat="false" ht="22.35" hidden="false" customHeight="false" outlineLevel="0" collapsed="false">
      <c r="A336" s="6" t="n">
        <v>335</v>
      </c>
      <c r="B336" s="12" t="n">
        <v>46606</v>
      </c>
      <c r="C336" s="6" t="n">
        <v>48</v>
      </c>
      <c r="D336" s="6" t="s">
        <v>111</v>
      </c>
      <c r="E336" s="6" t="s">
        <v>1844</v>
      </c>
      <c r="F336" s="6" t="s">
        <v>1845</v>
      </c>
      <c r="G336" s="6" t="s">
        <v>551</v>
      </c>
      <c r="H336" s="6" t="s">
        <v>181</v>
      </c>
      <c r="I336" s="6" t="s">
        <v>182</v>
      </c>
      <c r="J336" s="6" t="s">
        <v>1846</v>
      </c>
      <c r="K336" s="6" t="s">
        <v>1847</v>
      </c>
      <c r="L336" s="6" t="s">
        <v>1848</v>
      </c>
      <c r="M336" s="6" t="n">
        <v>5</v>
      </c>
      <c r="N336" s="6"/>
      <c r="O336" s="6"/>
    </row>
    <row r="337" customFormat="false" ht="64.15" hidden="false" customHeight="false" outlineLevel="0" collapsed="false">
      <c r="A337" s="4" t="n">
        <v>336</v>
      </c>
      <c r="B337" s="13" t="n">
        <v>46607</v>
      </c>
      <c r="C337" s="4" t="n">
        <v>48</v>
      </c>
      <c r="D337" s="4" t="s">
        <v>111</v>
      </c>
      <c r="E337" s="4" t="s">
        <v>1849</v>
      </c>
      <c r="F337" s="4" t="s">
        <v>201</v>
      </c>
      <c r="G337" s="4" t="s">
        <v>202</v>
      </c>
      <c r="H337" s="4" t="s">
        <v>181</v>
      </c>
      <c r="I337" s="4" t="s">
        <v>182</v>
      </c>
      <c r="J337" s="4" t="s">
        <v>1850</v>
      </c>
      <c r="K337" s="4" t="s">
        <v>201</v>
      </c>
      <c r="L337" s="4" t="s">
        <v>204</v>
      </c>
      <c r="M337" s="4" t="n">
        <v>5</v>
      </c>
      <c r="N337" s="4" t="s">
        <v>123</v>
      </c>
      <c r="O337" s="4"/>
    </row>
    <row r="338" customFormat="false" ht="32.8" hidden="false" customHeight="false" outlineLevel="0" collapsed="false">
      <c r="A338" s="6" t="n">
        <v>337</v>
      </c>
      <c r="B338" s="12" t="n">
        <v>46608</v>
      </c>
      <c r="C338" s="6" t="n">
        <v>49</v>
      </c>
      <c r="D338" s="6" t="s">
        <v>125</v>
      </c>
      <c r="E338" s="6" t="s">
        <v>1851</v>
      </c>
      <c r="F338" s="6" t="s">
        <v>1852</v>
      </c>
      <c r="G338" s="6" t="s">
        <v>1853</v>
      </c>
      <c r="H338" s="6" t="s">
        <v>1854</v>
      </c>
      <c r="I338" s="6" t="s">
        <v>1855</v>
      </c>
      <c r="J338" s="6" t="s">
        <v>1856</v>
      </c>
      <c r="K338" s="6" t="s">
        <v>1857</v>
      </c>
      <c r="L338" s="6" t="s">
        <v>839</v>
      </c>
      <c r="M338" s="6" t="n">
        <v>4</v>
      </c>
      <c r="N338" s="6"/>
      <c r="O338" s="6"/>
    </row>
    <row r="339" customFormat="false" ht="32.8" hidden="false" customHeight="false" outlineLevel="0" collapsed="false">
      <c r="A339" s="6" t="n">
        <v>338</v>
      </c>
      <c r="B339" s="12" t="n">
        <v>46609</v>
      </c>
      <c r="C339" s="6" t="n">
        <v>49</v>
      </c>
      <c r="D339" s="6" t="s">
        <v>125</v>
      </c>
      <c r="E339" s="6" t="s">
        <v>1858</v>
      </c>
      <c r="F339" s="6" t="s">
        <v>1859</v>
      </c>
      <c r="G339" s="6" t="s">
        <v>1860</v>
      </c>
      <c r="H339" s="6" t="s">
        <v>1861</v>
      </c>
      <c r="I339" s="6" t="s">
        <v>1862</v>
      </c>
      <c r="J339" s="6" t="s">
        <v>1863</v>
      </c>
      <c r="K339" s="6" t="s">
        <v>1864</v>
      </c>
      <c r="L339" s="6" t="s">
        <v>216</v>
      </c>
      <c r="M339" s="6" t="n">
        <v>4</v>
      </c>
      <c r="N339" s="6"/>
      <c r="O339" s="6"/>
    </row>
    <row r="340" customFormat="false" ht="22.35" hidden="false" customHeight="false" outlineLevel="0" collapsed="false">
      <c r="A340" s="6" t="n">
        <v>339</v>
      </c>
      <c r="B340" s="12" t="n">
        <v>46610</v>
      </c>
      <c r="C340" s="6" t="n">
        <v>49</v>
      </c>
      <c r="D340" s="6" t="s">
        <v>125</v>
      </c>
      <c r="E340" s="6" t="s">
        <v>1865</v>
      </c>
      <c r="F340" s="6" t="s">
        <v>1866</v>
      </c>
      <c r="G340" s="6" t="s">
        <v>670</v>
      </c>
      <c r="H340" s="6" t="s">
        <v>670</v>
      </c>
      <c r="I340" s="6" t="s">
        <v>671</v>
      </c>
      <c r="J340" s="6" t="s">
        <v>1867</v>
      </c>
      <c r="K340" s="6" t="s">
        <v>1868</v>
      </c>
      <c r="L340" s="6" t="s">
        <v>578</v>
      </c>
      <c r="M340" s="6" t="n">
        <v>4</v>
      </c>
      <c r="N340" s="6"/>
      <c r="O340" s="6"/>
    </row>
    <row r="341" customFormat="false" ht="22.35" hidden="false" customHeight="false" outlineLevel="0" collapsed="false">
      <c r="A341" s="6" t="n">
        <v>340</v>
      </c>
      <c r="B341" s="12" t="n">
        <v>46611</v>
      </c>
      <c r="C341" s="6" t="n">
        <v>49</v>
      </c>
      <c r="D341" s="6" t="s">
        <v>125</v>
      </c>
      <c r="E341" s="6" t="s">
        <v>1869</v>
      </c>
      <c r="F341" s="6" t="s">
        <v>1870</v>
      </c>
      <c r="G341" s="6" t="s">
        <v>1871</v>
      </c>
      <c r="H341" s="6" t="s">
        <v>1872</v>
      </c>
      <c r="I341" s="6" t="s">
        <v>1873</v>
      </c>
      <c r="J341" s="6" t="s">
        <v>1874</v>
      </c>
      <c r="K341" s="6" t="s">
        <v>1875</v>
      </c>
      <c r="L341" s="6" t="s">
        <v>447</v>
      </c>
      <c r="M341" s="6" t="n">
        <v>4</v>
      </c>
      <c r="N341" s="6"/>
      <c r="O341" s="6"/>
    </row>
    <row r="342" customFormat="false" ht="22.35" hidden="false" customHeight="false" outlineLevel="0" collapsed="false">
      <c r="A342" s="6" t="n">
        <v>341</v>
      </c>
      <c r="B342" s="12" t="n">
        <v>46612</v>
      </c>
      <c r="C342" s="6" t="n">
        <v>49</v>
      </c>
      <c r="D342" s="6" t="s">
        <v>125</v>
      </c>
      <c r="E342" s="6" t="s">
        <v>1876</v>
      </c>
      <c r="F342" s="6" t="s">
        <v>1877</v>
      </c>
      <c r="G342" s="6" t="s">
        <v>1878</v>
      </c>
      <c r="H342" s="6" t="s">
        <v>1879</v>
      </c>
      <c r="I342" s="6" t="s">
        <v>1880</v>
      </c>
      <c r="J342" s="6" t="s">
        <v>1881</v>
      </c>
      <c r="K342" s="6" t="s">
        <v>1882</v>
      </c>
      <c r="L342" s="6" t="s">
        <v>1883</v>
      </c>
      <c r="M342" s="6" t="n">
        <v>4</v>
      </c>
      <c r="N342" s="6"/>
      <c r="O342" s="6"/>
    </row>
    <row r="343" customFormat="false" ht="22.35" hidden="false" customHeight="false" outlineLevel="0" collapsed="false">
      <c r="A343" s="6" t="n">
        <v>342</v>
      </c>
      <c r="B343" s="12" t="n">
        <v>46613</v>
      </c>
      <c r="C343" s="6" t="n">
        <v>49</v>
      </c>
      <c r="D343" s="6" t="s">
        <v>125</v>
      </c>
      <c r="E343" s="6" t="s">
        <v>1884</v>
      </c>
      <c r="F343" s="6" t="s">
        <v>1885</v>
      </c>
      <c r="G343" s="6" t="s">
        <v>1886</v>
      </c>
      <c r="H343" s="6" t="s">
        <v>807</v>
      </c>
      <c r="I343" s="6" t="s">
        <v>808</v>
      </c>
      <c r="J343" s="6" t="s">
        <v>1887</v>
      </c>
      <c r="K343" s="6" t="s">
        <v>1888</v>
      </c>
      <c r="L343" s="6" t="s">
        <v>1889</v>
      </c>
      <c r="M343" s="6" t="n">
        <v>4</v>
      </c>
      <c r="N343" s="6"/>
      <c r="O343" s="6"/>
    </row>
    <row r="344" customFormat="false" ht="64.15" hidden="false" customHeight="false" outlineLevel="0" collapsed="false">
      <c r="A344" s="14" t="n">
        <v>343</v>
      </c>
      <c r="B344" s="15" t="n">
        <v>46614</v>
      </c>
      <c r="C344" s="14" t="n">
        <v>49</v>
      </c>
      <c r="D344" s="14" t="s">
        <v>125</v>
      </c>
      <c r="E344" s="14" t="s">
        <v>1890</v>
      </c>
      <c r="F344" s="14" t="s">
        <v>201</v>
      </c>
      <c r="G344" s="14" t="s">
        <v>202</v>
      </c>
      <c r="H344" s="14" t="s">
        <v>181</v>
      </c>
      <c r="I344" s="14" t="s">
        <v>182</v>
      </c>
      <c r="J344" s="14" t="s">
        <v>1891</v>
      </c>
      <c r="K344" s="14" t="s">
        <v>201</v>
      </c>
      <c r="L344" s="14" t="s">
        <v>204</v>
      </c>
      <c r="M344" s="14" t="n">
        <v>4</v>
      </c>
      <c r="N344" s="14"/>
      <c r="O344" s="14"/>
    </row>
    <row r="345" customFormat="false" ht="32.8" hidden="false" customHeight="false" outlineLevel="0" collapsed="false">
      <c r="A345" s="6" t="n">
        <v>344</v>
      </c>
      <c r="B345" s="12" t="n">
        <v>46615</v>
      </c>
      <c r="C345" s="6" t="n">
        <v>50</v>
      </c>
      <c r="D345" s="6" t="s">
        <v>125</v>
      </c>
      <c r="E345" s="6" t="s">
        <v>1892</v>
      </c>
      <c r="F345" s="6" t="s">
        <v>1893</v>
      </c>
      <c r="G345" s="6" t="s">
        <v>1894</v>
      </c>
      <c r="H345" s="6" t="s">
        <v>1895</v>
      </c>
      <c r="I345" s="6" t="s">
        <v>1896</v>
      </c>
      <c r="J345" s="6" t="s">
        <v>1897</v>
      </c>
      <c r="K345" s="6" t="s">
        <v>1898</v>
      </c>
      <c r="L345" s="6" t="s">
        <v>447</v>
      </c>
      <c r="M345" s="6" t="n">
        <v>4</v>
      </c>
      <c r="N345" s="6"/>
      <c r="O345" s="6"/>
    </row>
    <row r="346" customFormat="false" ht="22.35" hidden="false" customHeight="false" outlineLevel="0" collapsed="false">
      <c r="A346" s="6" t="n">
        <v>345</v>
      </c>
      <c r="B346" s="12" t="n">
        <v>46616</v>
      </c>
      <c r="C346" s="6" t="n">
        <v>50</v>
      </c>
      <c r="D346" s="6" t="s">
        <v>125</v>
      </c>
      <c r="E346" s="6" t="s">
        <v>1899</v>
      </c>
      <c r="F346" s="6" t="s">
        <v>1900</v>
      </c>
      <c r="G346" s="6" t="s">
        <v>1901</v>
      </c>
      <c r="H346" s="6" t="s">
        <v>1895</v>
      </c>
      <c r="I346" s="6" t="s">
        <v>1896</v>
      </c>
      <c r="J346" s="6" t="s">
        <v>1902</v>
      </c>
      <c r="K346" s="6" t="s">
        <v>1903</v>
      </c>
      <c r="L346" s="6" t="s">
        <v>1486</v>
      </c>
      <c r="M346" s="6" t="n">
        <v>4</v>
      </c>
      <c r="N346" s="6"/>
      <c r="O346" s="6"/>
    </row>
    <row r="347" customFormat="false" ht="32.8" hidden="false" customHeight="false" outlineLevel="0" collapsed="false">
      <c r="A347" s="6" t="n">
        <v>346</v>
      </c>
      <c r="B347" s="12" t="n">
        <v>46617</v>
      </c>
      <c r="C347" s="6" t="n">
        <v>50</v>
      </c>
      <c r="D347" s="6" t="s">
        <v>125</v>
      </c>
      <c r="E347" s="6" t="s">
        <v>1904</v>
      </c>
      <c r="F347" s="6" t="s">
        <v>1905</v>
      </c>
      <c r="G347" s="6" t="s">
        <v>1906</v>
      </c>
      <c r="H347" s="6" t="s">
        <v>1907</v>
      </c>
      <c r="I347" s="6" t="s">
        <v>1908</v>
      </c>
      <c r="J347" s="6" t="s">
        <v>1909</v>
      </c>
      <c r="K347" s="6" t="s">
        <v>1910</v>
      </c>
      <c r="L347" s="6" t="s">
        <v>447</v>
      </c>
      <c r="M347" s="6" t="n">
        <v>4</v>
      </c>
      <c r="N347" s="6"/>
      <c r="O347" s="6"/>
    </row>
    <row r="348" customFormat="false" ht="22.35" hidden="false" customHeight="false" outlineLevel="0" collapsed="false">
      <c r="A348" s="6" t="n">
        <v>347</v>
      </c>
      <c r="B348" s="12" t="n">
        <v>46618</v>
      </c>
      <c r="C348" s="6" t="n">
        <v>50</v>
      </c>
      <c r="D348" s="6" t="s">
        <v>125</v>
      </c>
      <c r="E348" s="6" t="s">
        <v>1911</v>
      </c>
      <c r="F348" s="6" t="s">
        <v>1912</v>
      </c>
      <c r="G348" s="6" t="s">
        <v>1913</v>
      </c>
      <c r="H348" s="6" t="s">
        <v>1895</v>
      </c>
      <c r="I348" s="6" t="s">
        <v>1896</v>
      </c>
      <c r="J348" s="6" t="s">
        <v>1914</v>
      </c>
      <c r="K348" s="6" t="s">
        <v>1915</v>
      </c>
      <c r="L348" s="6" t="s">
        <v>447</v>
      </c>
      <c r="M348" s="6" t="n">
        <v>4</v>
      </c>
      <c r="N348" s="6"/>
      <c r="O348" s="6"/>
    </row>
    <row r="349" customFormat="false" ht="22.35" hidden="false" customHeight="false" outlineLevel="0" collapsed="false">
      <c r="A349" s="6" t="n">
        <v>348</v>
      </c>
      <c r="B349" s="12" t="n">
        <v>46619</v>
      </c>
      <c r="C349" s="6" t="n">
        <v>50</v>
      </c>
      <c r="D349" s="6" t="s">
        <v>125</v>
      </c>
      <c r="E349" s="6" t="s">
        <v>1916</v>
      </c>
      <c r="F349" s="6" t="s">
        <v>1917</v>
      </c>
      <c r="G349" s="6" t="s">
        <v>551</v>
      </c>
      <c r="H349" s="6" t="s">
        <v>181</v>
      </c>
      <c r="I349" s="6" t="s">
        <v>182</v>
      </c>
      <c r="J349" s="6" t="s">
        <v>1918</v>
      </c>
      <c r="K349" s="6" t="s">
        <v>1919</v>
      </c>
      <c r="L349" s="6" t="s">
        <v>578</v>
      </c>
      <c r="M349" s="6" t="n">
        <v>4</v>
      </c>
      <c r="N349" s="6"/>
      <c r="O349" s="6"/>
    </row>
    <row r="350" customFormat="false" ht="22.35" hidden="false" customHeight="false" outlineLevel="0" collapsed="false">
      <c r="A350" s="6" t="n">
        <v>349</v>
      </c>
      <c r="B350" s="12" t="n">
        <v>46620</v>
      </c>
      <c r="C350" s="6" t="n">
        <v>50</v>
      </c>
      <c r="D350" s="6" t="s">
        <v>125</v>
      </c>
      <c r="E350" s="6" t="s">
        <v>1920</v>
      </c>
      <c r="F350" s="6" t="s">
        <v>1921</v>
      </c>
      <c r="G350" s="6" t="s">
        <v>551</v>
      </c>
      <c r="H350" s="6" t="s">
        <v>181</v>
      </c>
      <c r="I350" s="6" t="s">
        <v>182</v>
      </c>
      <c r="J350" s="6" t="s">
        <v>1295</v>
      </c>
      <c r="K350" s="6" t="s">
        <v>1922</v>
      </c>
      <c r="L350" s="6" t="s">
        <v>1923</v>
      </c>
      <c r="M350" s="6" t="n">
        <v>4</v>
      </c>
      <c r="N350" s="6"/>
      <c r="O350" s="6"/>
    </row>
    <row r="351" customFormat="false" ht="64.15" hidden="false" customHeight="false" outlineLevel="0" collapsed="false">
      <c r="A351" s="14" t="n">
        <v>350</v>
      </c>
      <c r="B351" s="15" t="n">
        <v>46621</v>
      </c>
      <c r="C351" s="14" t="n">
        <v>50</v>
      </c>
      <c r="D351" s="14" t="s">
        <v>125</v>
      </c>
      <c r="E351" s="14" t="s">
        <v>1924</v>
      </c>
      <c r="F351" s="14" t="s">
        <v>201</v>
      </c>
      <c r="G351" s="14" t="s">
        <v>202</v>
      </c>
      <c r="H351" s="14" t="s">
        <v>181</v>
      </c>
      <c r="I351" s="14" t="s">
        <v>182</v>
      </c>
      <c r="J351" s="14" t="s">
        <v>1925</v>
      </c>
      <c r="K351" s="14" t="s">
        <v>201</v>
      </c>
      <c r="L351" s="14" t="s">
        <v>204</v>
      </c>
      <c r="M351" s="14" t="n">
        <v>4</v>
      </c>
      <c r="N351" s="14"/>
      <c r="O351" s="14"/>
    </row>
    <row r="352" customFormat="false" ht="22.35" hidden="false" customHeight="false" outlineLevel="0" collapsed="false">
      <c r="A352" s="6" t="n">
        <v>351</v>
      </c>
      <c r="B352" s="12" t="n">
        <v>46622</v>
      </c>
      <c r="C352" s="6" t="n">
        <v>51</v>
      </c>
      <c r="D352" s="6" t="s">
        <v>130</v>
      </c>
      <c r="E352" s="6" t="s">
        <v>1926</v>
      </c>
      <c r="F352" s="6" t="s">
        <v>1927</v>
      </c>
      <c r="G352" s="6" t="s">
        <v>1928</v>
      </c>
      <c r="H352" s="6" t="s">
        <v>1929</v>
      </c>
      <c r="I352" s="6" t="s">
        <v>1930</v>
      </c>
      <c r="J352" s="6" t="s">
        <v>1931</v>
      </c>
      <c r="K352" s="6" t="s">
        <v>1932</v>
      </c>
      <c r="L352" s="6" t="s">
        <v>1933</v>
      </c>
      <c r="M352" s="6" t="n">
        <v>4</v>
      </c>
      <c r="N352" s="6"/>
      <c r="O352" s="6"/>
    </row>
    <row r="353" customFormat="false" ht="22.35" hidden="false" customHeight="false" outlineLevel="0" collapsed="false">
      <c r="A353" s="6" t="n">
        <v>352</v>
      </c>
      <c r="B353" s="12" t="n">
        <v>46623</v>
      </c>
      <c r="C353" s="6" t="n">
        <v>51</v>
      </c>
      <c r="D353" s="6" t="s">
        <v>130</v>
      </c>
      <c r="E353" s="6" t="s">
        <v>1934</v>
      </c>
      <c r="F353" s="6" t="s">
        <v>1935</v>
      </c>
      <c r="G353" s="6" t="s">
        <v>551</v>
      </c>
      <c r="H353" s="6" t="s">
        <v>181</v>
      </c>
      <c r="I353" s="6" t="s">
        <v>182</v>
      </c>
      <c r="J353" s="6" t="s">
        <v>1936</v>
      </c>
      <c r="K353" s="6" t="s">
        <v>1937</v>
      </c>
      <c r="L353" s="6" t="s">
        <v>1938</v>
      </c>
      <c r="M353" s="6" t="n">
        <v>4</v>
      </c>
      <c r="N353" s="6"/>
      <c r="O353" s="6"/>
    </row>
    <row r="354" customFormat="false" ht="22.35" hidden="false" customHeight="false" outlineLevel="0" collapsed="false">
      <c r="A354" s="6" t="n">
        <v>353</v>
      </c>
      <c r="B354" s="12" t="n">
        <v>46624</v>
      </c>
      <c r="C354" s="6" t="n">
        <v>51</v>
      </c>
      <c r="D354" s="6" t="s">
        <v>130</v>
      </c>
      <c r="E354" s="6" t="s">
        <v>1939</v>
      </c>
      <c r="F354" s="6" t="s">
        <v>1940</v>
      </c>
      <c r="G354" s="6" t="s">
        <v>551</v>
      </c>
      <c r="H354" s="6" t="s">
        <v>181</v>
      </c>
      <c r="I354" s="6" t="s">
        <v>182</v>
      </c>
      <c r="J354" s="6" t="s">
        <v>1941</v>
      </c>
      <c r="K354" s="6" t="s">
        <v>1942</v>
      </c>
      <c r="L354" s="6" t="s">
        <v>1943</v>
      </c>
      <c r="M354" s="6" t="n">
        <v>4</v>
      </c>
      <c r="N354" s="6"/>
      <c r="O354" s="6"/>
    </row>
    <row r="355" customFormat="false" ht="22.35" hidden="false" customHeight="false" outlineLevel="0" collapsed="false">
      <c r="A355" s="6" t="n">
        <v>354</v>
      </c>
      <c r="B355" s="12" t="n">
        <v>46625</v>
      </c>
      <c r="C355" s="6" t="n">
        <v>51</v>
      </c>
      <c r="D355" s="6" t="s">
        <v>130</v>
      </c>
      <c r="E355" s="6" t="s">
        <v>1944</v>
      </c>
      <c r="F355" s="6" t="s">
        <v>1945</v>
      </c>
      <c r="G355" s="6" t="s">
        <v>551</v>
      </c>
      <c r="H355" s="6" t="s">
        <v>181</v>
      </c>
      <c r="I355" s="6" t="s">
        <v>182</v>
      </c>
      <c r="J355" s="6" t="s">
        <v>1946</v>
      </c>
      <c r="K355" s="6" t="s">
        <v>1947</v>
      </c>
      <c r="L355" s="6" t="s">
        <v>447</v>
      </c>
      <c r="M355" s="6" t="n">
        <v>4</v>
      </c>
      <c r="N355" s="6"/>
      <c r="O355" s="6"/>
    </row>
    <row r="356" customFormat="false" ht="22.35" hidden="false" customHeight="false" outlineLevel="0" collapsed="false">
      <c r="A356" s="6" t="n">
        <v>355</v>
      </c>
      <c r="B356" s="12" t="n">
        <v>46626</v>
      </c>
      <c r="C356" s="6" t="n">
        <v>51</v>
      </c>
      <c r="D356" s="6" t="s">
        <v>130</v>
      </c>
      <c r="E356" s="6" t="s">
        <v>1948</v>
      </c>
      <c r="F356" s="6" t="s">
        <v>1949</v>
      </c>
      <c r="G356" s="6" t="s">
        <v>1950</v>
      </c>
      <c r="H356" s="6" t="s">
        <v>181</v>
      </c>
      <c r="I356" s="6" t="s">
        <v>182</v>
      </c>
      <c r="J356" s="6" t="s">
        <v>578</v>
      </c>
      <c r="K356" s="6" t="s">
        <v>1951</v>
      </c>
      <c r="L356" s="6" t="s">
        <v>578</v>
      </c>
      <c r="M356" s="6" t="n">
        <v>4</v>
      </c>
      <c r="N356" s="6"/>
      <c r="O356" s="6"/>
    </row>
    <row r="357" customFormat="false" ht="22.35" hidden="false" customHeight="false" outlineLevel="0" collapsed="false">
      <c r="A357" s="6" t="n">
        <v>356</v>
      </c>
      <c r="B357" s="12" t="n">
        <v>46627</v>
      </c>
      <c r="C357" s="6" t="n">
        <v>51</v>
      </c>
      <c r="D357" s="6" t="s">
        <v>130</v>
      </c>
      <c r="E357" s="6" t="s">
        <v>1952</v>
      </c>
      <c r="F357" s="6" t="s">
        <v>1953</v>
      </c>
      <c r="G357" s="6" t="s">
        <v>1954</v>
      </c>
      <c r="H357" s="6" t="s">
        <v>1954</v>
      </c>
      <c r="I357" s="6" t="s">
        <v>1955</v>
      </c>
      <c r="J357" s="6" t="s">
        <v>1956</v>
      </c>
      <c r="K357" s="6" t="s">
        <v>1957</v>
      </c>
      <c r="L357" s="6" t="s">
        <v>1958</v>
      </c>
      <c r="M357" s="6" t="n">
        <v>4</v>
      </c>
      <c r="N357" s="6"/>
      <c r="O357" s="6"/>
    </row>
    <row r="358" customFormat="false" ht="74.6" hidden="false" customHeight="false" outlineLevel="0" collapsed="false">
      <c r="A358" s="14" t="n">
        <v>357</v>
      </c>
      <c r="B358" s="15" t="n">
        <v>46628</v>
      </c>
      <c r="C358" s="14" t="n">
        <v>51</v>
      </c>
      <c r="D358" s="14" t="s">
        <v>130</v>
      </c>
      <c r="E358" s="14" t="s">
        <v>1959</v>
      </c>
      <c r="F358" s="14" t="s">
        <v>201</v>
      </c>
      <c r="G358" s="14" t="s">
        <v>202</v>
      </c>
      <c r="H358" s="14" t="s">
        <v>181</v>
      </c>
      <c r="I358" s="14" t="s">
        <v>182</v>
      </c>
      <c r="J358" s="14" t="s">
        <v>1960</v>
      </c>
      <c r="K358" s="14" t="s">
        <v>201</v>
      </c>
      <c r="L358" s="14" t="s">
        <v>204</v>
      </c>
      <c r="M358" s="14" t="n">
        <v>4</v>
      </c>
      <c r="N358" s="14"/>
      <c r="O358" s="14"/>
    </row>
    <row r="359" customFormat="false" ht="22.35" hidden="false" customHeight="false" outlineLevel="0" collapsed="false">
      <c r="A359" s="6" t="n">
        <v>358</v>
      </c>
      <c r="B359" s="12" t="n">
        <v>46629</v>
      </c>
      <c r="C359" s="6" t="n">
        <v>52</v>
      </c>
      <c r="D359" s="6" t="s">
        <v>133</v>
      </c>
      <c r="E359" s="6" t="s">
        <v>1961</v>
      </c>
      <c r="F359" s="6" t="s">
        <v>1962</v>
      </c>
      <c r="G359" s="6" t="s">
        <v>551</v>
      </c>
      <c r="H359" s="6" t="s">
        <v>181</v>
      </c>
      <c r="I359" s="6" t="s">
        <v>182</v>
      </c>
      <c r="J359" s="6" t="s">
        <v>1963</v>
      </c>
      <c r="K359" s="6" t="s">
        <v>1964</v>
      </c>
      <c r="L359" s="6" t="s">
        <v>1286</v>
      </c>
      <c r="M359" s="6" t="n">
        <v>5</v>
      </c>
      <c r="N359" s="6"/>
      <c r="O359" s="6"/>
    </row>
    <row r="360" customFormat="false" ht="22.35" hidden="false" customHeight="false" outlineLevel="0" collapsed="false">
      <c r="A360" s="6" t="n">
        <v>359</v>
      </c>
      <c r="B360" s="12" t="n">
        <v>46630</v>
      </c>
      <c r="C360" s="6" t="n">
        <v>52</v>
      </c>
      <c r="D360" s="6" t="s">
        <v>133</v>
      </c>
      <c r="E360" s="6" t="s">
        <v>1965</v>
      </c>
      <c r="F360" s="6" t="s">
        <v>1966</v>
      </c>
      <c r="G360" s="6" t="s">
        <v>551</v>
      </c>
      <c r="H360" s="6" t="s">
        <v>181</v>
      </c>
      <c r="I360" s="6" t="s">
        <v>182</v>
      </c>
      <c r="J360" s="6" t="s">
        <v>1808</v>
      </c>
      <c r="K360" s="6" t="s">
        <v>1967</v>
      </c>
      <c r="L360" s="6" t="s">
        <v>216</v>
      </c>
      <c r="M360" s="6" t="n">
        <v>5</v>
      </c>
      <c r="N360" s="6"/>
      <c r="O360" s="6"/>
    </row>
    <row r="361" customFormat="false" ht="22.35" hidden="false" customHeight="false" outlineLevel="0" collapsed="false">
      <c r="A361" s="6" t="n">
        <v>360</v>
      </c>
      <c r="B361" s="12" t="n">
        <v>46631</v>
      </c>
      <c r="C361" s="6" t="n">
        <v>52</v>
      </c>
      <c r="D361" s="6" t="s">
        <v>133</v>
      </c>
      <c r="E361" s="6" t="s">
        <v>1968</v>
      </c>
      <c r="F361" s="6" t="s">
        <v>1969</v>
      </c>
      <c r="G361" s="6" t="s">
        <v>551</v>
      </c>
      <c r="H361" s="6" t="s">
        <v>181</v>
      </c>
      <c r="I361" s="6" t="s">
        <v>182</v>
      </c>
      <c r="J361" s="6" t="s">
        <v>1970</v>
      </c>
      <c r="K361" s="6" t="s">
        <v>1971</v>
      </c>
      <c r="L361" s="6" t="s">
        <v>216</v>
      </c>
      <c r="M361" s="6" t="n">
        <v>5</v>
      </c>
      <c r="N361" s="6"/>
      <c r="O361" s="6"/>
    </row>
    <row r="362" customFormat="false" ht="22.35" hidden="false" customHeight="false" outlineLevel="0" collapsed="false">
      <c r="A362" s="6" t="n">
        <v>361</v>
      </c>
      <c r="B362" s="12" t="n">
        <v>46632</v>
      </c>
      <c r="C362" s="6" t="n">
        <v>52</v>
      </c>
      <c r="D362" s="6" t="s">
        <v>133</v>
      </c>
      <c r="E362" s="6" t="s">
        <v>1972</v>
      </c>
      <c r="F362" s="6" t="s">
        <v>1973</v>
      </c>
      <c r="G362" s="6" t="s">
        <v>551</v>
      </c>
      <c r="H362" s="6" t="s">
        <v>181</v>
      </c>
      <c r="I362" s="6" t="s">
        <v>182</v>
      </c>
      <c r="J362" s="6" t="s">
        <v>1974</v>
      </c>
      <c r="K362" s="6" t="s">
        <v>1975</v>
      </c>
      <c r="L362" s="6" t="s">
        <v>578</v>
      </c>
      <c r="M362" s="6" t="n">
        <v>5</v>
      </c>
      <c r="N362" s="6"/>
      <c r="O362" s="6"/>
    </row>
    <row r="363" customFormat="false" ht="22.35" hidden="false" customHeight="false" outlineLevel="0" collapsed="false">
      <c r="A363" s="6" t="n">
        <v>362</v>
      </c>
      <c r="B363" s="12" t="n">
        <v>46633</v>
      </c>
      <c r="C363" s="6" t="n">
        <v>52</v>
      </c>
      <c r="D363" s="6" t="s">
        <v>133</v>
      </c>
      <c r="E363" s="6" t="s">
        <v>1976</v>
      </c>
      <c r="F363" s="6" t="s">
        <v>1977</v>
      </c>
      <c r="G363" s="6" t="s">
        <v>1496</v>
      </c>
      <c r="H363" s="6" t="s">
        <v>1496</v>
      </c>
      <c r="I363" s="6" t="s">
        <v>1497</v>
      </c>
      <c r="J363" s="6" t="s">
        <v>1978</v>
      </c>
      <c r="K363" s="6" t="s">
        <v>1979</v>
      </c>
      <c r="L363" s="6" t="s">
        <v>216</v>
      </c>
      <c r="M363" s="6" t="n">
        <v>5</v>
      </c>
      <c r="N363" s="6"/>
      <c r="O363" s="6"/>
    </row>
    <row r="364" customFormat="false" ht="22.35" hidden="false" customHeight="false" outlineLevel="0" collapsed="false">
      <c r="A364" s="6" t="n">
        <v>363</v>
      </c>
      <c r="B364" s="12" t="n">
        <v>46634</v>
      </c>
      <c r="C364" s="6" t="n">
        <v>52</v>
      </c>
      <c r="D364" s="6" t="s">
        <v>133</v>
      </c>
      <c r="E364" s="6" t="s">
        <v>1980</v>
      </c>
      <c r="F364" s="6" t="s">
        <v>1981</v>
      </c>
      <c r="G364" s="6" t="s">
        <v>551</v>
      </c>
      <c r="H364" s="6" t="s">
        <v>181</v>
      </c>
      <c r="I364" s="6" t="s">
        <v>182</v>
      </c>
      <c r="J364" s="6" t="s">
        <v>1982</v>
      </c>
      <c r="K364" s="6" t="s">
        <v>1983</v>
      </c>
      <c r="L364" s="6" t="s">
        <v>1984</v>
      </c>
      <c r="M364" s="6" t="n">
        <v>5</v>
      </c>
      <c r="N364" s="6"/>
      <c r="O364" s="6"/>
    </row>
    <row r="365" customFormat="false" ht="64.15" hidden="false" customHeight="false" outlineLevel="0" collapsed="false">
      <c r="A365" s="4" t="n">
        <v>364</v>
      </c>
      <c r="B365" s="13" t="n">
        <v>46635</v>
      </c>
      <c r="C365" s="4" t="n">
        <v>52</v>
      </c>
      <c r="D365" s="4" t="s">
        <v>133</v>
      </c>
      <c r="E365" s="4" t="s">
        <v>1985</v>
      </c>
      <c r="F365" s="4" t="s">
        <v>201</v>
      </c>
      <c r="G365" s="4" t="s">
        <v>202</v>
      </c>
      <c r="H365" s="4" t="s">
        <v>181</v>
      </c>
      <c r="I365" s="4" t="s">
        <v>182</v>
      </c>
      <c r="J365" s="4" t="s">
        <v>1986</v>
      </c>
      <c r="K365" s="4" t="s">
        <v>201</v>
      </c>
      <c r="L365" s="4" t="s">
        <v>204</v>
      </c>
      <c r="M365" s="4" t="n">
        <v>5</v>
      </c>
      <c r="N365" s="4" t="s">
        <v>135</v>
      </c>
      <c r="O365" s="4"/>
    </row>
    <row r="366" customFormat="false" ht="22.35" hidden="false" customHeight="false" outlineLevel="0" collapsed="false">
      <c r="A366" s="4" t="n">
        <v>365</v>
      </c>
      <c r="B366" s="13" t="n">
        <v>46636</v>
      </c>
      <c r="C366" s="4" t="n">
        <v>53</v>
      </c>
      <c r="D366" s="4" t="s">
        <v>133</v>
      </c>
      <c r="E366" s="4" t="s">
        <v>1987</v>
      </c>
      <c r="F366" s="4" t="s">
        <v>1988</v>
      </c>
      <c r="G366" s="4" t="s">
        <v>182</v>
      </c>
      <c r="H366" s="4" t="s">
        <v>181</v>
      </c>
      <c r="I366" s="4" t="s">
        <v>182</v>
      </c>
      <c r="J366" s="4" t="s">
        <v>1989</v>
      </c>
      <c r="K366" s="4" t="s">
        <v>1990</v>
      </c>
      <c r="L366" s="4" t="s">
        <v>1991</v>
      </c>
      <c r="M366" s="4" t="n">
        <v>5</v>
      </c>
      <c r="N366" s="4" t="s">
        <v>135</v>
      </c>
      <c r="O366" s="4"/>
    </row>
  </sheetData>
  <autoFilter ref="A1:O3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3" t="s">
        <v>1992</v>
      </c>
      <c r="B1" s="3" t="s">
        <v>1993</v>
      </c>
      <c r="C1" s="3" t="s">
        <v>1817</v>
      </c>
      <c r="D1" s="3" t="s">
        <v>1994</v>
      </c>
      <c r="E1" s="3" t="s">
        <v>1995</v>
      </c>
    </row>
    <row r="2" customFormat="false" ht="22.35" hidden="false" customHeight="false" outlineLevel="0" collapsed="false">
      <c r="A2" s="6" t="s">
        <v>166</v>
      </c>
      <c r="B2" s="6" t="s">
        <v>1996</v>
      </c>
      <c r="C2" s="6" t="s">
        <v>167</v>
      </c>
      <c r="D2" s="6" t="s">
        <v>1997</v>
      </c>
      <c r="E2" s="6" t="s">
        <v>1998</v>
      </c>
    </row>
    <row r="3" customFormat="false" ht="15" hidden="false" customHeight="false" outlineLevel="0" collapsed="false">
      <c r="A3" s="6" t="s">
        <v>1999</v>
      </c>
      <c r="B3" s="6" t="s">
        <v>2000</v>
      </c>
      <c r="C3" s="6" t="s">
        <v>2001</v>
      </c>
      <c r="D3" s="6" t="s">
        <v>2002</v>
      </c>
      <c r="E3" s="6" t="s">
        <v>182</v>
      </c>
    </row>
    <row r="4" customFormat="false" ht="15" hidden="false" customHeight="false" outlineLevel="0" collapsed="false">
      <c r="A4" s="6" t="s">
        <v>2003</v>
      </c>
      <c r="B4" s="6" t="s">
        <v>2004</v>
      </c>
      <c r="C4" s="6" t="s">
        <v>2005</v>
      </c>
      <c r="D4" s="6" t="s">
        <v>2006</v>
      </c>
      <c r="E4" s="6" t="s">
        <v>182</v>
      </c>
    </row>
    <row r="5" customFormat="false" ht="15" hidden="false" customHeight="false" outlineLevel="0" collapsed="false">
      <c r="A5" s="6" t="s">
        <v>349</v>
      </c>
      <c r="B5" s="6" t="s">
        <v>2007</v>
      </c>
      <c r="C5" s="6" t="s">
        <v>350</v>
      </c>
      <c r="D5" s="6" t="s">
        <v>2008</v>
      </c>
      <c r="E5" s="6" t="s">
        <v>2009</v>
      </c>
    </row>
    <row r="6" customFormat="false" ht="22.35" hidden="false" customHeight="false" outlineLevel="0" collapsed="false">
      <c r="A6" s="6" t="s">
        <v>386</v>
      </c>
      <c r="B6" s="6" t="s">
        <v>2010</v>
      </c>
      <c r="C6" s="6" t="s">
        <v>387</v>
      </c>
      <c r="D6" s="6" t="s">
        <v>2011</v>
      </c>
      <c r="E6" s="6" t="s">
        <v>2012</v>
      </c>
    </row>
    <row r="7" customFormat="false" ht="15" hidden="false" customHeight="false" outlineLevel="0" collapsed="false">
      <c r="A7" s="6" t="s">
        <v>400</v>
      </c>
      <c r="B7" s="6" t="s">
        <v>2013</v>
      </c>
      <c r="C7" s="6" t="s">
        <v>401</v>
      </c>
      <c r="D7" s="6" t="s">
        <v>2014</v>
      </c>
      <c r="E7" s="6" t="s">
        <v>2015</v>
      </c>
    </row>
    <row r="8" customFormat="false" ht="15" hidden="false" customHeight="false" outlineLevel="0" collapsed="false">
      <c r="A8" s="6" t="s">
        <v>448</v>
      </c>
      <c r="B8" s="6" t="s">
        <v>2016</v>
      </c>
      <c r="C8" s="6" t="s">
        <v>451</v>
      </c>
      <c r="D8" s="6" t="s">
        <v>2017</v>
      </c>
      <c r="E8" s="6" t="s">
        <v>2018</v>
      </c>
    </row>
    <row r="9" customFormat="false" ht="15" hidden="false" customHeight="false" outlineLevel="0" collapsed="false">
      <c r="A9" s="6" t="s">
        <v>443</v>
      </c>
      <c r="B9" s="6" t="s">
        <v>2019</v>
      </c>
      <c r="C9" s="6" t="s">
        <v>444</v>
      </c>
      <c r="D9" s="6" t="s">
        <v>2020</v>
      </c>
      <c r="E9" s="6" t="s">
        <v>182</v>
      </c>
    </row>
    <row r="10" customFormat="false" ht="15" hidden="false" customHeight="false" outlineLevel="0" collapsed="false">
      <c r="A10" s="6" t="s">
        <v>508</v>
      </c>
      <c r="B10" s="6" t="s">
        <v>2021</v>
      </c>
      <c r="C10" s="6" t="s">
        <v>509</v>
      </c>
      <c r="D10" s="6" t="s">
        <v>2022</v>
      </c>
      <c r="E10" s="6" t="s">
        <v>182</v>
      </c>
    </row>
    <row r="11" customFormat="false" ht="15" hidden="false" customHeight="false" outlineLevel="0" collapsed="false">
      <c r="A11" s="6" t="s">
        <v>536</v>
      </c>
      <c r="B11" s="6" t="s">
        <v>2023</v>
      </c>
      <c r="C11" s="6" t="s">
        <v>537</v>
      </c>
      <c r="D11" s="6" t="s">
        <v>2024</v>
      </c>
      <c r="E11" s="6" t="s">
        <v>182</v>
      </c>
    </row>
    <row r="12" customFormat="false" ht="15" hidden="false" customHeight="false" outlineLevel="0" collapsed="false">
      <c r="A12" s="6" t="s">
        <v>502</v>
      </c>
      <c r="B12" s="6" t="s">
        <v>2025</v>
      </c>
      <c r="C12" s="6" t="s">
        <v>503</v>
      </c>
      <c r="D12" s="6" t="s">
        <v>2026</v>
      </c>
      <c r="E12" s="6" t="s">
        <v>182</v>
      </c>
    </row>
    <row r="13" customFormat="false" ht="15" hidden="false" customHeight="false" outlineLevel="0" collapsed="false">
      <c r="A13" s="6" t="s">
        <v>612</v>
      </c>
      <c r="B13" s="6" t="s">
        <v>2027</v>
      </c>
      <c r="C13" s="6" t="s">
        <v>613</v>
      </c>
      <c r="D13" s="6" t="s">
        <v>2028</v>
      </c>
      <c r="E13" s="6" t="s">
        <v>182</v>
      </c>
    </row>
    <row r="14" customFormat="false" ht="15" hidden="false" customHeight="false" outlineLevel="0" collapsed="false">
      <c r="A14" s="6" t="s">
        <v>528</v>
      </c>
      <c r="B14" s="6" t="s">
        <v>2029</v>
      </c>
      <c r="C14" s="6" t="s">
        <v>529</v>
      </c>
      <c r="D14" s="6" t="s">
        <v>2022</v>
      </c>
      <c r="E14" s="6" t="s">
        <v>182</v>
      </c>
    </row>
    <row r="15" customFormat="false" ht="22.35" hidden="false" customHeight="false" outlineLevel="0" collapsed="false">
      <c r="A15" s="6" t="s">
        <v>174</v>
      </c>
      <c r="B15" s="6" t="s">
        <v>2030</v>
      </c>
      <c r="C15" s="6" t="s">
        <v>175</v>
      </c>
      <c r="D15" s="6" t="s">
        <v>2031</v>
      </c>
      <c r="E15" s="6" t="s">
        <v>2032</v>
      </c>
    </row>
    <row r="16" customFormat="false" ht="15" hidden="false" customHeight="false" outlineLevel="0" collapsed="false">
      <c r="A16" s="6" t="s">
        <v>664</v>
      </c>
      <c r="B16" s="6" t="s">
        <v>2033</v>
      </c>
      <c r="C16" s="6" t="s">
        <v>665</v>
      </c>
      <c r="D16" s="6" t="s">
        <v>2022</v>
      </c>
      <c r="E16" s="6" t="s">
        <v>182</v>
      </c>
    </row>
    <row r="17" customFormat="false" ht="15" hidden="false" customHeight="false" outlineLevel="0" collapsed="false">
      <c r="A17" s="6" t="s">
        <v>716</v>
      </c>
      <c r="B17" s="6" t="s">
        <v>2034</v>
      </c>
      <c r="C17" s="6" t="s">
        <v>717</v>
      </c>
      <c r="D17" s="6" t="s">
        <v>2035</v>
      </c>
      <c r="E17" s="6" t="s">
        <v>182</v>
      </c>
    </row>
    <row r="18" customFormat="false" ht="15" hidden="false" customHeight="false" outlineLevel="0" collapsed="false">
      <c r="A18" s="6" t="s">
        <v>756</v>
      </c>
      <c r="B18" s="6" t="s">
        <v>2036</v>
      </c>
      <c r="C18" s="6" t="s">
        <v>757</v>
      </c>
      <c r="D18" s="6" t="s">
        <v>2037</v>
      </c>
      <c r="E18" s="6" t="s">
        <v>2038</v>
      </c>
    </row>
    <row r="19" customFormat="false" ht="15" hidden="false" customHeight="false" outlineLevel="0" collapsed="false">
      <c r="A19" s="6" t="s">
        <v>723</v>
      </c>
      <c r="B19" s="6" t="s">
        <v>2039</v>
      </c>
      <c r="C19" s="6" t="s">
        <v>724</v>
      </c>
      <c r="D19" s="6" t="s">
        <v>2040</v>
      </c>
      <c r="E19" s="6" t="s">
        <v>182</v>
      </c>
    </row>
    <row r="20" customFormat="false" ht="15" hidden="false" customHeight="false" outlineLevel="0" collapsed="false">
      <c r="A20" s="6" t="s">
        <v>747</v>
      </c>
      <c r="B20" s="6" t="s">
        <v>2041</v>
      </c>
      <c r="C20" s="6" t="s">
        <v>748</v>
      </c>
      <c r="D20" s="6" t="s">
        <v>2042</v>
      </c>
      <c r="E20" s="6" t="s">
        <v>182</v>
      </c>
    </row>
    <row r="21" customFormat="false" ht="15" hidden="false" customHeight="false" outlineLevel="0" collapsed="false">
      <c r="A21" s="6" t="s">
        <v>730</v>
      </c>
      <c r="B21" s="6" t="s">
        <v>2043</v>
      </c>
      <c r="C21" s="6" t="s">
        <v>731</v>
      </c>
      <c r="D21" s="6" t="s">
        <v>2044</v>
      </c>
      <c r="E21" s="6" t="s">
        <v>182</v>
      </c>
    </row>
    <row r="22" customFormat="false" ht="15" hidden="false" customHeight="false" outlineLevel="0" collapsed="false">
      <c r="A22" s="6" t="s">
        <v>807</v>
      </c>
      <c r="B22" s="6" t="s">
        <v>2045</v>
      </c>
      <c r="C22" s="6" t="s">
        <v>808</v>
      </c>
      <c r="D22" s="6" t="s">
        <v>2046</v>
      </c>
      <c r="E22" s="6" t="s">
        <v>182</v>
      </c>
    </row>
    <row r="23" customFormat="false" ht="15" hidden="false" customHeight="false" outlineLevel="0" collapsed="false">
      <c r="A23" s="6" t="s">
        <v>863</v>
      </c>
      <c r="B23" s="6" t="s">
        <v>2047</v>
      </c>
      <c r="C23" s="6" t="s">
        <v>864</v>
      </c>
      <c r="D23" s="6" t="s">
        <v>2048</v>
      </c>
      <c r="E23" s="6" t="s">
        <v>2049</v>
      </c>
    </row>
    <row r="24" customFormat="false" ht="15" hidden="false" customHeight="false" outlineLevel="0" collapsed="false">
      <c r="A24" s="6" t="s">
        <v>778</v>
      </c>
      <c r="B24" s="6" t="s">
        <v>2050</v>
      </c>
      <c r="C24" s="6" t="s">
        <v>779</v>
      </c>
      <c r="D24" s="6" t="s">
        <v>2042</v>
      </c>
      <c r="E24" s="6" t="s">
        <v>182</v>
      </c>
    </row>
    <row r="25" customFormat="false" ht="15" hidden="false" customHeight="false" outlineLevel="0" collapsed="false">
      <c r="A25" s="6" t="s">
        <v>875</v>
      </c>
      <c r="B25" s="6" t="s">
        <v>2051</v>
      </c>
      <c r="C25" s="6" t="s">
        <v>876</v>
      </c>
      <c r="D25" s="6" t="s">
        <v>2042</v>
      </c>
      <c r="E25" s="6" t="s">
        <v>182</v>
      </c>
    </row>
    <row r="26" customFormat="false" ht="15" hidden="false" customHeight="false" outlineLevel="0" collapsed="false">
      <c r="A26" s="6" t="s">
        <v>916</v>
      </c>
      <c r="B26" s="6" t="s">
        <v>2052</v>
      </c>
      <c r="C26" s="6" t="s">
        <v>917</v>
      </c>
      <c r="D26" s="6" t="s">
        <v>2053</v>
      </c>
      <c r="E26" s="6" t="s">
        <v>2054</v>
      </c>
    </row>
    <row r="27" customFormat="false" ht="15" hidden="false" customHeight="false" outlineLevel="0" collapsed="false">
      <c r="A27" s="6" t="s">
        <v>942</v>
      </c>
      <c r="B27" s="6" t="s">
        <v>2055</v>
      </c>
      <c r="C27" s="6" t="s">
        <v>943</v>
      </c>
      <c r="D27" s="6" t="s">
        <v>2022</v>
      </c>
      <c r="E27" s="6" t="s">
        <v>182</v>
      </c>
    </row>
    <row r="28" customFormat="false" ht="15" hidden="false" customHeight="false" outlineLevel="0" collapsed="false">
      <c r="A28" s="6" t="s">
        <v>960</v>
      </c>
      <c r="B28" s="6" t="s">
        <v>2056</v>
      </c>
      <c r="C28" s="6" t="s">
        <v>961</v>
      </c>
      <c r="D28" s="6" t="s">
        <v>2057</v>
      </c>
      <c r="E28" s="6" t="s">
        <v>182</v>
      </c>
    </row>
    <row r="29" customFormat="false" ht="15" hidden="false" customHeight="false" outlineLevel="0" collapsed="false">
      <c r="A29" s="6" t="s">
        <v>974</v>
      </c>
      <c r="B29" s="6" t="s">
        <v>2058</v>
      </c>
      <c r="C29" s="6" t="s">
        <v>975</v>
      </c>
      <c r="D29" s="6" t="s">
        <v>2042</v>
      </c>
      <c r="E29" s="6" t="s">
        <v>182</v>
      </c>
    </row>
    <row r="30" customFormat="false" ht="15" hidden="false" customHeight="false" outlineLevel="0" collapsed="false">
      <c r="A30" s="6" t="s">
        <v>995</v>
      </c>
      <c r="B30" s="6" t="s">
        <v>2059</v>
      </c>
      <c r="C30" s="6" t="s">
        <v>996</v>
      </c>
      <c r="D30" s="6" t="s">
        <v>2060</v>
      </c>
      <c r="E30" s="6" t="s">
        <v>182</v>
      </c>
    </row>
    <row r="31" customFormat="false" ht="15" hidden="false" customHeight="false" outlineLevel="0" collapsed="false">
      <c r="A31" s="6" t="s">
        <v>2061</v>
      </c>
      <c r="B31" s="6" t="s">
        <v>2062</v>
      </c>
      <c r="C31" s="6" t="s">
        <v>2063</v>
      </c>
      <c r="D31" s="6" t="s">
        <v>2042</v>
      </c>
      <c r="E31" s="6" t="s">
        <v>182</v>
      </c>
    </row>
    <row r="32" customFormat="false" ht="15" hidden="false" customHeight="false" outlineLevel="0" collapsed="false">
      <c r="A32" s="6" t="s">
        <v>1011</v>
      </c>
      <c r="B32" s="6" t="s">
        <v>2064</v>
      </c>
      <c r="C32" s="6" t="s">
        <v>1012</v>
      </c>
      <c r="D32" s="6" t="s">
        <v>2065</v>
      </c>
      <c r="E32" s="6" t="s">
        <v>182</v>
      </c>
    </row>
    <row r="33" customFormat="false" ht="15" hidden="false" customHeight="false" outlineLevel="0" collapsed="false">
      <c r="A33" s="6" t="s">
        <v>1045</v>
      </c>
      <c r="B33" s="6" t="s">
        <v>2066</v>
      </c>
      <c r="C33" s="6" t="s">
        <v>1046</v>
      </c>
      <c r="D33" s="6" t="s">
        <v>2067</v>
      </c>
      <c r="E33" s="6" t="s">
        <v>2068</v>
      </c>
    </row>
    <row r="34" customFormat="false" ht="15" hidden="false" customHeight="false" outlineLevel="0" collapsed="false">
      <c r="A34" s="6" t="s">
        <v>1025</v>
      </c>
      <c r="B34" s="6" t="s">
        <v>2069</v>
      </c>
      <c r="C34" s="6" t="s">
        <v>1026</v>
      </c>
      <c r="D34" s="6" t="s">
        <v>2070</v>
      </c>
      <c r="E34" s="6" t="s">
        <v>182</v>
      </c>
    </row>
    <row r="35" customFormat="false" ht="15" hidden="false" customHeight="false" outlineLevel="0" collapsed="false">
      <c r="A35" s="6" t="s">
        <v>1424</v>
      </c>
      <c r="B35" s="6" t="s">
        <v>2071</v>
      </c>
      <c r="C35" s="6" t="s">
        <v>1425</v>
      </c>
      <c r="D35" s="6" t="s">
        <v>2072</v>
      </c>
      <c r="E35" s="6" t="s">
        <v>182</v>
      </c>
    </row>
    <row r="36" customFormat="false" ht="15" hidden="false" customHeight="false" outlineLevel="0" collapsed="false">
      <c r="A36" s="6" t="s">
        <v>1038</v>
      </c>
      <c r="B36" s="6" t="s">
        <v>2073</v>
      </c>
      <c r="C36" s="6" t="s">
        <v>1039</v>
      </c>
      <c r="D36" s="6" t="s">
        <v>2074</v>
      </c>
      <c r="E36" s="6" t="s">
        <v>182</v>
      </c>
    </row>
    <row r="37" customFormat="false" ht="15" hidden="false" customHeight="false" outlineLevel="0" collapsed="false">
      <c r="A37" s="6" t="s">
        <v>923</v>
      </c>
      <c r="B37" s="6" t="s">
        <v>2075</v>
      </c>
      <c r="C37" s="6" t="s">
        <v>924</v>
      </c>
      <c r="D37" s="6" t="s">
        <v>2008</v>
      </c>
      <c r="E37" s="6" t="s">
        <v>2038</v>
      </c>
    </row>
    <row r="38" customFormat="false" ht="15" hidden="false" customHeight="false" outlineLevel="0" collapsed="false">
      <c r="A38" s="6" t="s">
        <v>1111</v>
      </c>
      <c r="B38" s="6" t="s">
        <v>2076</v>
      </c>
      <c r="C38" s="6" t="s">
        <v>1112</v>
      </c>
      <c r="D38" s="6" t="s">
        <v>2077</v>
      </c>
      <c r="E38" s="6" t="s">
        <v>182</v>
      </c>
    </row>
    <row r="39" customFormat="false" ht="15" hidden="false" customHeight="false" outlineLevel="0" collapsed="false">
      <c r="A39" s="6" t="s">
        <v>1122</v>
      </c>
      <c r="B39" s="6" t="s">
        <v>2078</v>
      </c>
      <c r="C39" s="6" t="s">
        <v>1123</v>
      </c>
      <c r="D39" s="6" t="s">
        <v>2079</v>
      </c>
      <c r="E39" s="6" t="s">
        <v>182</v>
      </c>
    </row>
    <row r="40" customFormat="false" ht="22.35" hidden="false" customHeight="false" outlineLevel="0" collapsed="false">
      <c r="A40" s="6" t="s">
        <v>1130</v>
      </c>
      <c r="B40" s="6" t="s">
        <v>2080</v>
      </c>
      <c r="C40" s="6" t="s">
        <v>1131</v>
      </c>
      <c r="D40" s="6" t="s">
        <v>2081</v>
      </c>
      <c r="E40" s="6" t="s">
        <v>182</v>
      </c>
    </row>
    <row r="41" customFormat="false" ht="15" hidden="false" customHeight="false" outlineLevel="0" collapsed="false">
      <c r="A41" s="6" t="s">
        <v>1137</v>
      </c>
      <c r="B41" s="6" t="s">
        <v>2082</v>
      </c>
      <c r="C41" s="6" t="s">
        <v>1138</v>
      </c>
      <c r="D41" s="6" t="s">
        <v>2083</v>
      </c>
      <c r="E41" s="6" t="s">
        <v>182</v>
      </c>
    </row>
    <row r="42" customFormat="false" ht="15" hidden="false" customHeight="false" outlineLevel="0" collapsed="false">
      <c r="A42" s="6" t="s">
        <v>1176</v>
      </c>
      <c r="B42" s="6" t="s">
        <v>2084</v>
      </c>
      <c r="C42" s="6" t="s">
        <v>1177</v>
      </c>
      <c r="D42" s="6" t="s">
        <v>2008</v>
      </c>
      <c r="E42" s="6" t="s">
        <v>2085</v>
      </c>
    </row>
    <row r="43" customFormat="false" ht="15" hidden="false" customHeight="false" outlineLevel="0" collapsed="false">
      <c r="A43" s="6" t="s">
        <v>1165</v>
      </c>
      <c r="B43" s="6" t="s">
        <v>2086</v>
      </c>
      <c r="C43" s="6" t="s">
        <v>1166</v>
      </c>
      <c r="D43" s="6" t="s">
        <v>2087</v>
      </c>
      <c r="E43" s="6" t="s">
        <v>182</v>
      </c>
    </row>
    <row r="44" customFormat="false" ht="15" hidden="false" customHeight="false" outlineLevel="0" collapsed="false">
      <c r="A44" s="6" t="s">
        <v>1158</v>
      </c>
      <c r="B44" s="6" t="s">
        <v>2088</v>
      </c>
      <c r="C44" s="6" t="s">
        <v>1159</v>
      </c>
      <c r="D44" s="6" t="s">
        <v>2022</v>
      </c>
      <c r="E44" s="6" t="s">
        <v>182</v>
      </c>
    </row>
    <row r="45" customFormat="false" ht="15" hidden="false" customHeight="false" outlineLevel="0" collapsed="false">
      <c r="A45" s="6" t="s">
        <v>1220</v>
      </c>
      <c r="B45" s="6" t="s">
        <v>2089</v>
      </c>
      <c r="C45" s="6" t="s">
        <v>1221</v>
      </c>
      <c r="D45" s="6" t="s">
        <v>2090</v>
      </c>
      <c r="E45" s="6" t="s">
        <v>182</v>
      </c>
    </row>
    <row r="46" customFormat="false" ht="15" hidden="false" customHeight="false" outlineLevel="0" collapsed="false">
      <c r="A46" s="6" t="s">
        <v>1194</v>
      </c>
      <c r="B46" s="6" t="s">
        <v>2091</v>
      </c>
      <c r="C46" s="6" t="s">
        <v>1195</v>
      </c>
      <c r="D46" s="6" t="s">
        <v>2092</v>
      </c>
      <c r="E46" s="6" t="s">
        <v>182</v>
      </c>
    </row>
    <row r="47" customFormat="false" ht="15" hidden="false" customHeight="false" outlineLevel="0" collapsed="false">
      <c r="A47" s="6" t="s">
        <v>1310</v>
      </c>
      <c r="B47" s="6" t="s">
        <v>2093</v>
      </c>
      <c r="C47" s="6" t="s">
        <v>1311</v>
      </c>
      <c r="D47" s="6" t="s">
        <v>2060</v>
      </c>
      <c r="E47" s="6" t="s">
        <v>182</v>
      </c>
    </row>
    <row r="48" customFormat="false" ht="15" hidden="false" customHeight="false" outlineLevel="0" collapsed="false">
      <c r="A48" s="6" t="s">
        <v>1317</v>
      </c>
      <c r="B48" s="6" t="s">
        <v>2094</v>
      </c>
      <c r="C48" s="6" t="s">
        <v>1318</v>
      </c>
      <c r="D48" s="6" t="s">
        <v>2042</v>
      </c>
      <c r="E48" s="6" t="s">
        <v>182</v>
      </c>
    </row>
    <row r="49" customFormat="false" ht="15" hidden="false" customHeight="false" outlineLevel="0" collapsed="false">
      <c r="A49" s="6" t="s">
        <v>1324</v>
      </c>
      <c r="B49" s="6" t="s">
        <v>2095</v>
      </c>
      <c r="C49" s="6" t="s">
        <v>1325</v>
      </c>
      <c r="D49" s="6" t="s">
        <v>2096</v>
      </c>
      <c r="E49" s="6" t="s">
        <v>182</v>
      </c>
    </row>
    <row r="50" customFormat="false" ht="15" hidden="false" customHeight="false" outlineLevel="0" collapsed="false">
      <c r="A50" s="6" t="s">
        <v>1332</v>
      </c>
      <c r="B50" s="6" t="s">
        <v>2097</v>
      </c>
      <c r="C50" s="6" t="s">
        <v>1333</v>
      </c>
      <c r="D50" s="6" t="s">
        <v>2098</v>
      </c>
      <c r="E50" s="6" t="s">
        <v>2099</v>
      </c>
    </row>
    <row r="51" customFormat="false" ht="15" hidden="false" customHeight="false" outlineLevel="0" collapsed="false">
      <c r="A51" s="6" t="s">
        <v>1352</v>
      </c>
      <c r="B51" s="6" t="s">
        <v>2100</v>
      </c>
      <c r="C51" s="6" t="s">
        <v>1353</v>
      </c>
      <c r="D51" s="6" t="s">
        <v>2101</v>
      </c>
      <c r="E51" s="6" t="s">
        <v>182</v>
      </c>
    </row>
    <row r="52" customFormat="false" ht="15" hidden="false" customHeight="false" outlineLevel="0" collapsed="false">
      <c r="A52" s="6" t="s">
        <v>1377</v>
      </c>
      <c r="B52" s="6" t="s">
        <v>2102</v>
      </c>
      <c r="C52" s="6" t="s">
        <v>1378</v>
      </c>
      <c r="D52" s="6" t="s">
        <v>2092</v>
      </c>
      <c r="E52" s="6" t="s">
        <v>182</v>
      </c>
    </row>
    <row r="53" customFormat="false" ht="15" hidden="false" customHeight="false" outlineLevel="0" collapsed="false">
      <c r="A53" s="6" t="s">
        <v>1395</v>
      </c>
      <c r="B53" s="6" t="s">
        <v>2103</v>
      </c>
      <c r="C53" s="6" t="s">
        <v>1396</v>
      </c>
      <c r="D53" s="6" t="s">
        <v>2022</v>
      </c>
      <c r="E53" s="6" t="s">
        <v>182</v>
      </c>
    </row>
    <row r="54" customFormat="false" ht="15" hidden="false" customHeight="false" outlineLevel="0" collapsed="false">
      <c r="A54" s="6" t="s">
        <v>1384</v>
      </c>
      <c r="B54" s="6" t="s">
        <v>2104</v>
      </c>
      <c r="C54" s="6" t="s">
        <v>1385</v>
      </c>
      <c r="D54" s="6" t="s">
        <v>2105</v>
      </c>
      <c r="E54" s="6" t="s">
        <v>2106</v>
      </c>
    </row>
    <row r="55" customFormat="false" ht="15" hidden="false" customHeight="false" outlineLevel="0" collapsed="false">
      <c r="A55" s="6" t="s">
        <v>1406</v>
      </c>
      <c r="B55" s="6" t="s">
        <v>2107</v>
      </c>
      <c r="C55" s="6" t="s">
        <v>1407</v>
      </c>
      <c r="D55" s="6" t="s">
        <v>593</v>
      </c>
      <c r="E55" s="6" t="s">
        <v>182</v>
      </c>
    </row>
    <row r="56" customFormat="false" ht="15" hidden="false" customHeight="false" outlineLevel="0" collapsed="false">
      <c r="A56" s="6" t="s">
        <v>1414</v>
      </c>
      <c r="B56" s="6" t="s">
        <v>2108</v>
      </c>
      <c r="C56" s="6" t="s">
        <v>1415</v>
      </c>
      <c r="D56" s="6" t="s">
        <v>2022</v>
      </c>
      <c r="E56" s="6" t="s">
        <v>182</v>
      </c>
    </row>
    <row r="57" customFormat="false" ht="15" hidden="false" customHeight="false" outlineLevel="0" collapsed="false">
      <c r="A57" s="6" t="s">
        <v>1457</v>
      </c>
      <c r="B57" s="6" t="s">
        <v>2109</v>
      </c>
      <c r="C57" s="6" t="s">
        <v>1458</v>
      </c>
      <c r="D57" s="6" t="s">
        <v>2092</v>
      </c>
      <c r="E57" s="6" t="s">
        <v>182</v>
      </c>
    </row>
    <row r="58" customFormat="false" ht="15" hidden="false" customHeight="false" outlineLevel="0" collapsed="false">
      <c r="A58" s="6" t="s">
        <v>2110</v>
      </c>
      <c r="B58" s="6" t="s">
        <v>2111</v>
      </c>
      <c r="C58" s="6" t="s">
        <v>2112</v>
      </c>
      <c r="D58" s="6" t="s">
        <v>2042</v>
      </c>
      <c r="E58" s="6" t="s">
        <v>182</v>
      </c>
    </row>
    <row r="59" customFormat="false" ht="15" hidden="false" customHeight="false" outlineLevel="0" collapsed="false">
      <c r="A59" s="6" t="s">
        <v>1450</v>
      </c>
      <c r="B59" s="6" t="s">
        <v>2113</v>
      </c>
      <c r="C59" s="6" t="s">
        <v>1451</v>
      </c>
      <c r="D59" s="6" t="s">
        <v>2114</v>
      </c>
      <c r="E59" s="6" t="s">
        <v>182</v>
      </c>
    </row>
    <row r="60" customFormat="false" ht="15" hidden="false" customHeight="false" outlineLevel="0" collapsed="false">
      <c r="A60" s="6" t="s">
        <v>1482</v>
      </c>
      <c r="B60" s="6" t="s">
        <v>2115</v>
      </c>
      <c r="C60" s="6" t="s">
        <v>1483</v>
      </c>
      <c r="D60" s="6" t="s">
        <v>2116</v>
      </c>
      <c r="E60" s="6" t="s">
        <v>182</v>
      </c>
    </row>
    <row r="61" customFormat="false" ht="15" hidden="false" customHeight="false" outlineLevel="0" collapsed="false">
      <c r="A61" s="6" t="s">
        <v>1487</v>
      </c>
      <c r="B61" s="6" t="s">
        <v>2117</v>
      </c>
      <c r="C61" s="6" t="s">
        <v>1490</v>
      </c>
      <c r="D61" s="6" t="s">
        <v>2118</v>
      </c>
      <c r="E61" s="6" t="s">
        <v>182</v>
      </c>
    </row>
    <row r="62" customFormat="false" ht="15" hidden="false" customHeight="false" outlineLevel="0" collapsed="false">
      <c r="A62" s="6" t="s">
        <v>1496</v>
      </c>
      <c r="B62" s="6" t="s">
        <v>2119</v>
      </c>
      <c r="C62" s="6" t="s">
        <v>1497</v>
      </c>
      <c r="D62" s="6" t="s">
        <v>2120</v>
      </c>
      <c r="E62" s="6" t="s">
        <v>182</v>
      </c>
    </row>
    <row r="63" customFormat="false" ht="15" hidden="false" customHeight="false" outlineLevel="0" collapsed="false">
      <c r="A63" s="6" t="s">
        <v>2121</v>
      </c>
      <c r="B63" s="6" t="s">
        <v>2122</v>
      </c>
      <c r="C63" s="6" t="s">
        <v>2123</v>
      </c>
      <c r="D63" s="6" t="s">
        <v>2124</v>
      </c>
      <c r="E63" s="6" t="s">
        <v>182</v>
      </c>
    </row>
    <row r="64" customFormat="false" ht="15" hidden="false" customHeight="false" outlineLevel="0" collapsed="false">
      <c r="A64" s="6" t="s">
        <v>1508</v>
      </c>
      <c r="B64" s="6" t="s">
        <v>2125</v>
      </c>
      <c r="C64" s="6" t="s">
        <v>1509</v>
      </c>
      <c r="D64" s="6" t="s">
        <v>2126</v>
      </c>
      <c r="E64" s="6" t="s">
        <v>182</v>
      </c>
    </row>
    <row r="65" customFormat="false" ht="15" hidden="false" customHeight="false" outlineLevel="0" collapsed="false">
      <c r="A65" s="6" t="s">
        <v>1573</v>
      </c>
      <c r="B65" s="6" t="s">
        <v>2127</v>
      </c>
      <c r="C65" s="6" t="s">
        <v>1576</v>
      </c>
      <c r="D65" s="6" t="s">
        <v>2022</v>
      </c>
      <c r="E65" s="6" t="s">
        <v>182</v>
      </c>
    </row>
    <row r="66" customFormat="false" ht="15" hidden="false" customHeight="false" outlineLevel="0" collapsed="false">
      <c r="A66" s="6" t="s">
        <v>1582</v>
      </c>
      <c r="B66" s="6" t="s">
        <v>2128</v>
      </c>
      <c r="C66" s="6" t="s">
        <v>1583</v>
      </c>
      <c r="D66" s="6" t="s">
        <v>2092</v>
      </c>
      <c r="E66" s="6" t="s">
        <v>182</v>
      </c>
    </row>
    <row r="67" customFormat="false" ht="15" hidden="false" customHeight="false" outlineLevel="0" collapsed="false">
      <c r="A67" s="6" t="s">
        <v>1590</v>
      </c>
      <c r="B67" s="6" t="s">
        <v>2129</v>
      </c>
      <c r="C67" s="6" t="s">
        <v>1591</v>
      </c>
      <c r="D67" s="6" t="s">
        <v>593</v>
      </c>
      <c r="E67" s="6" t="s">
        <v>182</v>
      </c>
    </row>
    <row r="68" customFormat="false" ht="15" hidden="false" customHeight="false" outlineLevel="0" collapsed="false">
      <c r="A68" s="6" t="s">
        <v>1542</v>
      </c>
      <c r="B68" s="6" t="s">
        <v>2130</v>
      </c>
      <c r="C68" s="6" t="s">
        <v>1543</v>
      </c>
      <c r="D68" s="6" t="s">
        <v>2131</v>
      </c>
      <c r="E68" s="6" t="s">
        <v>182</v>
      </c>
    </row>
    <row r="69" customFormat="false" ht="15" hidden="false" customHeight="false" outlineLevel="0" collapsed="false">
      <c r="A69" s="6" t="s">
        <v>1597</v>
      </c>
      <c r="B69" s="6" t="s">
        <v>2132</v>
      </c>
      <c r="C69" s="6" t="s">
        <v>1598</v>
      </c>
      <c r="D69" s="6" t="s">
        <v>2092</v>
      </c>
      <c r="E69" s="6" t="s">
        <v>182</v>
      </c>
    </row>
    <row r="70" customFormat="false" ht="15" hidden="false" customHeight="false" outlineLevel="0" collapsed="false">
      <c r="A70" s="6" t="s">
        <v>1604</v>
      </c>
      <c r="B70" s="6" t="s">
        <v>2133</v>
      </c>
      <c r="C70" s="6" t="s">
        <v>1605</v>
      </c>
      <c r="D70" s="6" t="s">
        <v>2042</v>
      </c>
      <c r="E70" s="6" t="s">
        <v>182</v>
      </c>
    </row>
    <row r="71" customFormat="false" ht="15" hidden="false" customHeight="false" outlineLevel="0" collapsed="false">
      <c r="A71" s="6" t="s">
        <v>1618</v>
      </c>
      <c r="B71" s="6" t="s">
        <v>2134</v>
      </c>
      <c r="C71" s="6" t="s">
        <v>1619</v>
      </c>
      <c r="D71" s="6" t="s">
        <v>2135</v>
      </c>
      <c r="E71" s="6" t="s">
        <v>2136</v>
      </c>
    </row>
    <row r="72" customFormat="false" ht="15" hidden="false" customHeight="false" outlineLevel="0" collapsed="false">
      <c r="A72" s="6" t="s">
        <v>1690</v>
      </c>
      <c r="B72" s="6" t="s">
        <v>2137</v>
      </c>
      <c r="C72" s="6" t="s">
        <v>1691</v>
      </c>
      <c r="D72" s="6" t="s">
        <v>2138</v>
      </c>
      <c r="E72" s="6" t="s">
        <v>2139</v>
      </c>
    </row>
    <row r="73" customFormat="false" ht="15" hidden="false" customHeight="false" outlineLevel="0" collapsed="false">
      <c r="A73" s="6" t="s">
        <v>1648</v>
      </c>
      <c r="B73" s="6" t="s">
        <v>2140</v>
      </c>
      <c r="C73" s="6" t="s">
        <v>1649</v>
      </c>
      <c r="D73" s="6" t="s">
        <v>2141</v>
      </c>
      <c r="E73" s="6" t="s">
        <v>182</v>
      </c>
    </row>
    <row r="74" customFormat="false" ht="15" hidden="false" customHeight="false" outlineLevel="0" collapsed="false">
      <c r="A74" s="6" t="s">
        <v>1652</v>
      </c>
      <c r="B74" s="6" t="s">
        <v>2142</v>
      </c>
      <c r="C74" s="6" t="s">
        <v>1655</v>
      </c>
      <c r="D74" s="6" t="s">
        <v>2143</v>
      </c>
      <c r="E74" s="6" t="s">
        <v>182</v>
      </c>
    </row>
    <row r="75" customFormat="false" ht="15" hidden="false" customHeight="false" outlineLevel="0" collapsed="false">
      <c r="A75" s="6" t="s">
        <v>371</v>
      </c>
      <c r="B75" s="6" t="s">
        <v>2144</v>
      </c>
      <c r="C75" s="6" t="s">
        <v>372</v>
      </c>
      <c r="D75" s="6" t="s">
        <v>2145</v>
      </c>
      <c r="E75" s="6" t="s">
        <v>182</v>
      </c>
    </row>
    <row r="76" customFormat="false" ht="22.35" hidden="false" customHeight="false" outlineLevel="0" collapsed="false">
      <c r="A76" s="6" t="s">
        <v>1681</v>
      </c>
      <c r="B76" s="6" t="s">
        <v>2146</v>
      </c>
      <c r="C76" s="6" t="s">
        <v>1682</v>
      </c>
      <c r="D76" s="6" t="s">
        <v>2147</v>
      </c>
      <c r="E76" s="6" t="s">
        <v>2038</v>
      </c>
    </row>
    <row r="77" customFormat="false" ht="22.35" hidden="false" customHeight="false" outlineLevel="0" collapsed="false">
      <c r="A77" s="6" t="s">
        <v>1667</v>
      </c>
      <c r="B77" s="6" t="s">
        <v>2148</v>
      </c>
      <c r="C77" s="6" t="s">
        <v>1668</v>
      </c>
      <c r="D77" s="6" t="s">
        <v>2022</v>
      </c>
      <c r="E77" s="6" t="s">
        <v>182</v>
      </c>
    </row>
    <row r="78" customFormat="false" ht="15" hidden="false" customHeight="false" outlineLevel="0" collapsed="false">
      <c r="A78" s="6" t="s">
        <v>597</v>
      </c>
      <c r="B78" s="6" t="s">
        <v>2149</v>
      </c>
      <c r="C78" s="6" t="s">
        <v>598</v>
      </c>
      <c r="D78" s="6" t="s">
        <v>2150</v>
      </c>
      <c r="E78" s="6" t="s">
        <v>182</v>
      </c>
    </row>
    <row r="79" customFormat="false" ht="15" hidden="false" customHeight="false" outlineLevel="0" collapsed="false">
      <c r="A79" s="6" t="s">
        <v>1696</v>
      </c>
      <c r="B79" s="6" t="s">
        <v>2151</v>
      </c>
      <c r="C79" s="6" t="s">
        <v>1697</v>
      </c>
      <c r="D79" s="6" t="s">
        <v>2022</v>
      </c>
      <c r="E79" s="6" t="s">
        <v>182</v>
      </c>
    </row>
    <row r="80" customFormat="false" ht="15" hidden="false" customHeight="false" outlineLevel="0" collapsed="false">
      <c r="A80" s="6" t="s">
        <v>1674</v>
      </c>
      <c r="B80" s="6" t="s">
        <v>2152</v>
      </c>
      <c r="C80" s="6" t="s">
        <v>1675</v>
      </c>
      <c r="D80" s="6" t="s">
        <v>2153</v>
      </c>
      <c r="E80" s="6" t="s">
        <v>182</v>
      </c>
    </row>
    <row r="81" customFormat="false" ht="15" hidden="false" customHeight="false" outlineLevel="0" collapsed="false">
      <c r="A81" s="6" t="s">
        <v>1281</v>
      </c>
      <c r="B81" s="6" t="s">
        <v>2154</v>
      </c>
      <c r="C81" s="6" t="s">
        <v>1282</v>
      </c>
      <c r="D81" s="6" t="s">
        <v>2155</v>
      </c>
      <c r="E81" s="6" t="s">
        <v>182</v>
      </c>
    </row>
    <row r="82" customFormat="false" ht="15" hidden="false" customHeight="false" outlineLevel="0" collapsed="false">
      <c r="A82" s="6" t="s">
        <v>1704</v>
      </c>
      <c r="B82" s="6" t="s">
        <v>2156</v>
      </c>
      <c r="C82" s="6" t="s">
        <v>1705</v>
      </c>
      <c r="D82" s="6" t="s">
        <v>2157</v>
      </c>
      <c r="E82" s="6" t="s">
        <v>182</v>
      </c>
    </row>
    <row r="83" customFormat="false" ht="22.35" hidden="false" customHeight="false" outlineLevel="0" collapsed="false">
      <c r="A83" s="6" t="s">
        <v>1731</v>
      </c>
      <c r="B83" s="6" t="s">
        <v>2158</v>
      </c>
      <c r="C83" s="6" t="s">
        <v>1732</v>
      </c>
      <c r="D83" s="6" t="s">
        <v>2159</v>
      </c>
      <c r="E83" s="6" t="s">
        <v>2160</v>
      </c>
    </row>
    <row r="84" customFormat="false" ht="15" hidden="false" customHeight="false" outlineLevel="0" collapsed="false">
      <c r="A84" s="6" t="s">
        <v>1737</v>
      </c>
      <c r="B84" s="6" t="s">
        <v>2161</v>
      </c>
      <c r="C84" s="6" t="s">
        <v>1738</v>
      </c>
      <c r="D84" s="6" t="s">
        <v>2162</v>
      </c>
      <c r="E84" s="6" t="s">
        <v>182</v>
      </c>
    </row>
    <row r="85" customFormat="false" ht="15" hidden="false" customHeight="false" outlineLevel="0" collapsed="false">
      <c r="A85" s="6" t="s">
        <v>1744</v>
      </c>
      <c r="B85" s="6" t="s">
        <v>2163</v>
      </c>
      <c r="C85" s="6" t="s">
        <v>1745</v>
      </c>
      <c r="D85" s="6" t="s">
        <v>2022</v>
      </c>
      <c r="E85" s="6" t="s">
        <v>182</v>
      </c>
    </row>
    <row r="86" customFormat="false" ht="15" hidden="false" customHeight="false" outlineLevel="0" collapsed="false">
      <c r="A86" s="6" t="s">
        <v>1756</v>
      </c>
      <c r="B86" s="6" t="s">
        <v>2164</v>
      </c>
      <c r="C86" s="6" t="s">
        <v>1757</v>
      </c>
      <c r="D86" s="6" t="s">
        <v>2165</v>
      </c>
      <c r="E86" s="6" t="s">
        <v>182</v>
      </c>
    </row>
    <row r="87" customFormat="false" ht="15" hidden="false" customHeight="false" outlineLevel="0" collapsed="false">
      <c r="A87" s="6" t="s">
        <v>1786</v>
      </c>
      <c r="B87" s="6" t="s">
        <v>2166</v>
      </c>
      <c r="C87" s="6" t="s">
        <v>1787</v>
      </c>
      <c r="D87" s="6" t="s">
        <v>2167</v>
      </c>
      <c r="E87" s="6" t="s">
        <v>2038</v>
      </c>
    </row>
    <row r="88" customFormat="false" ht="15" hidden="false" customHeight="false" outlineLevel="0" collapsed="false">
      <c r="A88" s="6" t="s">
        <v>1774</v>
      </c>
      <c r="B88" s="6" t="s">
        <v>2168</v>
      </c>
      <c r="C88" s="6" t="s">
        <v>1775</v>
      </c>
      <c r="D88" s="6" t="s">
        <v>2022</v>
      </c>
      <c r="E88" s="6" t="s">
        <v>182</v>
      </c>
    </row>
    <row r="89" customFormat="false" ht="22.35" hidden="false" customHeight="false" outlineLevel="0" collapsed="false">
      <c r="A89" s="6" t="s">
        <v>1854</v>
      </c>
      <c r="B89" s="6" t="s">
        <v>2169</v>
      </c>
      <c r="C89" s="6" t="s">
        <v>1855</v>
      </c>
      <c r="D89" s="6" t="s">
        <v>2170</v>
      </c>
      <c r="E89" s="6" t="s">
        <v>2171</v>
      </c>
    </row>
    <row r="90" customFormat="false" ht="15" hidden="false" customHeight="false" outlineLevel="0" collapsed="false">
      <c r="A90" s="6" t="s">
        <v>1861</v>
      </c>
      <c r="B90" s="6" t="s">
        <v>2172</v>
      </c>
      <c r="C90" s="6" t="s">
        <v>1862</v>
      </c>
      <c r="D90" s="6" t="s">
        <v>2173</v>
      </c>
      <c r="E90" s="6" t="s">
        <v>2038</v>
      </c>
    </row>
    <row r="91" customFormat="false" ht="15" hidden="false" customHeight="false" outlineLevel="0" collapsed="false">
      <c r="A91" s="6" t="s">
        <v>670</v>
      </c>
      <c r="B91" s="6" t="s">
        <v>2174</v>
      </c>
      <c r="C91" s="6" t="s">
        <v>671</v>
      </c>
      <c r="D91" s="6" t="s">
        <v>2022</v>
      </c>
      <c r="E91" s="6" t="s">
        <v>182</v>
      </c>
    </row>
    <row r="92" customFormat="false" ht="15" hidden="false" customHeight="false" outlineLevel="0" collapsed="false">
      <c r="A92" s="6" t="s">
        <v>1872</v>
      </c>
      <c r="B92" s="6" t="s">
        <v>2175</v>
      </c>
      <c r="C92" s="6" t="s">
        <v>1873</v>
      </c>
      <c r="D92" s="6" t="s">
        <v>2042</v>
      </c>
      <c r="E92" s="6" t="s">
        <v>182</v>
      </c>
    </row>
    <row r="93" customFormat="false" ht="15" hidden="false" customHeight="false" outlineLevel="0" collapsed="false">
      <c r="A93" s="6" t="s">
        <v>2176</v>
      </c>
      <c r="B93" s="6" t="s">
        <v>2177</v>
      </c>
      <c r="C93" s="6" t="s">
        <v>2178</v>
      </c>
      <c r="D93" s="6" t="s">
        <v>2042</v>
      </c>
      <c r="E93" s="6" t="s">
        <v>182</v>
      </c>
    </row>
    <row r="94" customFormat="false" ht="15" hidden="false" customHeight="false" outlineLevel="0" collapsed="false">
      <c r="A94" s="6" t="s">
        <v>1879</v>
      </c>
      <c r="B94" s="6" t="s">
        <v>2179</v>
      </c>
      <c r="C94" s="6" t="s">
        <v>1880</v>
      </c>
      <c r="D94" s="6" t="s">
        <v>2114</v>
      </c>
      <c r="E94" s="6" t="s">
        <v>182</v>
      </c>
    </row>
    <row r="95" customFormat="false" ht="22.35" hidden="false" customHeight="false" outlineLevel="0" collapsed="false">
      <c r="A95" s="6" t="s">
        <v>1895</v>
      </c>
      <c r="B95" s="6" t="s">
        <v>2180</v>
      </c>
      <c r="C95" s="6" t="s">
        <v>1896</v>
      </c>
      <c r="D95" s="6" t="s">
        <v>2181</v>
      </c>
      <c r="E95" s="6" t="s">
        <v>182</v>
      </c>
    </row>
    <row r="96" customFormat="false" ht="15" hidden="false" customHeight="false" outlineLevel="0" collapsed="false">
      <c r="A96" s="6" t="s">
        <v>1907</v>
      </c>
      <c r="B96" s="6" t="s">
        <v>2182</v>
      </c>
      <c r="C96" s="6" t="s">
        <v>1908</v>
      </c>
      <c r="D96" s="6" t="s">
        <v>2092</v>
      </c>
      <c r="E96" s="6" t="s">
        <v>182</v>
      </c>
    </row>
    <row r="97" customFormat="false" ht="15" hidden="false" customHeight="false" outlineLevel="0" collapsed="false">
      <c r="A97" s="6" t="s">
        <v>1929</v>
      </c>
      <c r="B97" s="6" t="s">
        <v>2183</v>
      </c>
      <c r="C97" s="6" t="s">
        <v>1930</v>
      </c>
      <c r="D97" s="6" t="s">
        <v>2022</v>
      </c>
      <c r="E97" s="6" t="s">
        <v>182</v>
      </c>
    </row>
    <row r="98" customFormat="false" ht="15" hidden="false" customHeight="false" outlineLevel="0" collapsed="false">
      <c r="A98" s="6" t="s">
        <v>1954</v>
      </c>
      <c r="B98" s="6" t="s">
        <v>2184</v>
      </c>
      <c r="C98" s="6" t="s">
        <v>1955</v>
      </c>
      <c r="D98" s="6" t="s">
        <v>2185</v>
      </c>
      <c r="E98" s="6" t="s">
        <v>182</v>
      </c>
    </row>
    <row r="99" customFormat="false" ht="15" hidden="false" customHeight="false" outlineLevel="0" collapsed="false">
      <c r="A99" s="6" t="s">
        <v>181</v>
      </c>
      <c r="B99" s="6" t="s">
        <v>2186</v>
      </c>
      <c r="C99" s="6" t="s">
        <v>182</v>
      </c>
      <c r="D99" s="6" t="s">
        <v>182</v>
      </c>
      <c r="E99" s="6" t="s">
        <v>182</v>
      </c>
    </row>
    <row r="100" customFormat="false" ht="15" hidden="false" customHeight="false" outlineLevel="0" collapsed="false">
      <c r="A100" s="6" t="s">
        <v>158</v>
      </c>
      <c r="B100" s="6" t="s">
        <v>2187</v>
      </c>
      <c r="C100" s="6" t="s">
        <v>159</v>
      </c>
      <c r="D100" s="6" t="s">
        <v>2188</v>
      </c>
      <c r="E100" s="6" t="s">
        <v>182</v>
      </c>
    </row>
    <row r="101" customFormat="false" ht="15" hidden="false" customHeight="false" outlineLevel="0" collapsed="false">
      <c r="A101" s="6" t="s">
        <v>2189</v>
      </c>
      <c r="B101" s="6" t="s">
        <v>2190</v>
      </c>
      <c r="C101" s="6" t="s">
        <v>2191</v>
      </c>
      <c r="D101" s="6" t="s">
        <v>2192</v>
      </c>
      <c r="E101" s="6" t="s">
        <v>2193</v>
      </c>
    </row>
    <row r="102" customFormat="false" ht="15" hidden="false" customHeight="false" outlineLevel="0" collapsed="false">
      <c r="A102" s="6" t="s">
        <v>189</v>
      </c>
      <c r="B102" s="6" t="s">
        <v>2194</v>
      </c>
      <c r="C102" s="6" t="s">
        <v>190</v>
      </c>
      <c r="D102" s="6" t="s">
        <v>593</v>
      </c>
      <c r="E102" s="6" t="s">
        <v>182</v>
      </c>
    </row>
    <row r="103" customFormat="false" ht="15" hidden="false" customHeight="false" outlineLevel="0" collapsed="false">
      <c r="A103" s="6" t="s">
        <v>2195</v>
      </c>
      <c r="B103" s="6" t="s">
        <v>2196</v>
      </c>
      <c r="C103" s="6" t="s">
        <v>2197</v>
      </c>
      <c r="D103" s="6" t="s">
        <v>2022</v>
      </c>
      <c r="E103" s="6" t="s">
        <v>182</v>
      </c>
    </row>
    <row r="104" customFormat="false" ht="15" hidden="false" customHeight="false" outlineLevel="0" collapsed="false">
      <c r="A104" s="6" t="s">
        <v>1144</v>
      </c>
      <c r="B104" s="6" t="s">
        <v>2198</v>
      </c>
      <c r="C104" s="6" t="s">
        <v>1145</v>
      </c>
      <c r="D104" s="6" t="s">
        <v>2199</v>
      </c>
      <c r="E104" s="6" t="s">
        <v>182</v>
      </c>
    </row>
    <row r="105" customFormat="false" ht="15" hidden="false" customHeight="false" outlineLevel="0" collapsed="false">
      <c r="A105" s="6" t="s">
        <v>1634</v>
      </c>
      <c r="B105" s="6" t="s">
        <v>2200</v>
      </c>
      <c r="C105" s="6" t="s">
        <v>1635</v>
      </c>
      <c r="D105" s="6" t="s">
        <v>2199</v>
      </c>
      <c r="E105" s="6" t="s">
        <v>182</v>
      </c>
    </row>
    <row r="106" customFormat="false" ht="15" hidden="false" customHeight="false" outlineLevel="0" collapsed="false">
      <c r="A106" s="6" t="s">
        <v>2201</v>
      </c>
      <c r="B106" s="6" t="s">
        <v>2202</v>
      </c>
      <c r="C106" s="6" t="s">
        <v>2203</v>
      </c>
      <c r="D106" s="6" t="s">
        <v>2114</v>
      </c>
      <c r="E106" s="6" t="s">
        <v>182</v>
      </c>
    </row>
    <row r="107" customFormat="false" ht="15" hidden="false" customHeight="false" outlineLevel="0" collapsed="false">
      <c r="A107" s="6" t="s">
        <v>987</v>
      </c>
      <c r="B107" s="6" t="s">
        <v>2204</v>
      </c>
      <c r="C107" s="6" t="s">
        <v>988</v>
      </c>
      <c r="D107" s="6" t="s">
        <v>593</v>
      </c>
      <c r="E107" s="6" t="s">
        <v>182</v>
      </c>
    </row>
    <row r="108" customFormat="false" ht="15" hidden="false" customHeight="false" outlineLevel="0" collapsed="false">
      <c r="A108" s="6" t="s">
        <v>1032</v>
      </c>
      <c r="B108" s="6" t="s">
        <v>2205</v>
      </c>
      <c r="C108" s="6" t="s">
        <v>1033</v>
      </c>
      <c r="D108" s="6" t="s">
        <v>593</v>
      </c>
      <c r="E108" s="6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2026-09-04T11:06:49Z</dcterms:created>
  <dc:creator>openpyxl</dc:creator>
  <dc:description/>
  <dc:language>en-US</dc:language>
  <cp:lastModifiedBy/>
  <dcterms:modified xsi:type="dcterms:W3CDTF">2026-09-04T11:06:49Z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